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ABC Village information-2026\Year-2026\4.ABC Villages- details as on.31.03.2026- Konaseema modal\"/>
    </mc:Choice>
  </mc:AlternateContent>
  <xr:revisionPtr revIDLastSave="0" documentId="13_ncr:1_{946283D3-EA21-4314-B12A-4E8BEBC96A9C}" xr6:coauthVersionLast="47" xr6:coauthVersionMax="47" xr10:uidLastSave="{00000000-0000-0000-0000-000000000000}"/>
  <bookViews>
    <workbookView xWindow="-120" yWindow="-120" windowWidth="29040" windowHeight="15720" tabRatio="598" xr2:uid="{00000000-000D-0000-FFFF-FFFF00000000}"/>
  </bookViews>
  <sheets>
    <sheet name="Sheet1" sheetId="16" r:id="rId1"/>
    <sheet name="Abstract" sheetId="22" r:id="rId2"/>
    <sheet name="Cast Conflicts" sheetId="17" r:id="rId3"/>
    <sheet name="Political" sheetId="18" r:id="rId4"/>
    <sheet name="Communal" sheetId="20" r:id="rId5"/>
    <sheet name="General" sheetId="21" r:id="rId6"/>
  </sheets>
  <definedNames>
    <definedName name="_xlnm._FilterDatabase" localSheetId="2" hidden="1">'Cast Conflicts'!$A$3:$J$3</definedName>
    <definedName name="_xlnm._FilterDatabase" localSheetId="4" hidden="1">Communal!$A$3:$H$8</definedName>
    <definedName name="_xlnm._FilterDatabase" localSheetId="5" hidden="1">General!$A$3:$H$48</definedName>
    <definedName name="_xlnm._FilterDatabase" localSheetId="3" hidden="1">Political!$A$3:$I$47</definedName>
    <definedName name="_xlnm.Print_Area" localSheetId="1">Abstract!$A$1:$G$45</definedName>
    <definedName name="_xlnm.Print_Area" localSheetId="2">'Cast Conflicts'!$A$1:$H$10</definedName>
    <definedName name="_xlnm.Print_Area" localSheetId="4">Communal!$A$1:$H$9</definedName>
    <definedName name="_xlnm.Print_Area" localSheetId="5">General!$A$1:$H$48</definedName>
    <definedName name="_xlnm.Print_Area" localSheetId="3">Political!$A$1:$H$47</definedName>
    <definedName name="_xlnm.Print_Titles" localSheetId="2">'Cast Conflicts'!$3:$3</definedName>
    <definedName name="_xlnm.Print_Titles" localSheetId="4">Communal!$3:$3</definedName>
    <definedName name="_xlnm.Print_Titles" localSheetId="5">General!$3:$3</definedName>
    <definedName name="_xlnm.Print_Titles" localSheetId="3">Political!$3:$3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5" i="22" l="1"/>
  <c r="C45" i="22"/>
  <c r="D44" i="22"/>
  <c r="D45" i="22" s="1"/>
  <c r="F44" i="22"/>
  <c r="G37" i="22"/>
  <c r="G38" i="22"/>
  <c r="G39" i="22"/>
  <c r="G40" i="22"/>
  <c r="G41" i="22"/>
  <c r="G42" i="22"/>
  <c r="G43" i="22"/>
  <c r="F35" i="22"/>
  <c r="G35" i="22" s="1"/>
  <c r="G31" i="22"/>
  <c r="G33" i="22"/>
  <c r="G34" i="22"/>
  <c r="C28" i="22"/>
  <c r="D28" i="22"/>
  <c r="E28" i="22"/>
  <c r="F28" i="22"/>
  <c r="G20" i="22"/>
  <c r="G21" i="22"/>
  <c r="G22" i="22"/>
  <c r="G23" i="22"/>
  <c r="G24" i="22"/>
  <c r="G25" i="22"/>
  <c r="G26" i="22"/>
  <c r="G27" i="22"/>
  <c r="C18" i="22"/>
  <c r="D18" i="22"/>
  <c r="E18" i="22"/>
  <c r="E45" i="22" s="1"/>
  <c r="F18" i="22"/>
  <c r="G4" i="22"/>
  <c r="G5" i="22"/>
  <c r="G7" i="22"/>
  <c r="G8" i="22"/>
  <c r="G9" i="22"/>
  <c r="G10" i="22"/>
  <c r="G11" i="22"/>
  <c r="G12" i="22"/>
  <c r="G13" i="22"/>
  <c r="G14" i="22"/>
  <c r="G15" i="22"/>
  <c r="G44" i="22" l="1"/>
  <c r="G28" i="22"/>
  <c r="G18" i="22"/>
  <c r="G45" i="22" l="1"/>
</calcChain>
</file>

<file path=xl/sharedStrings.xml><?xml version="1.0" encoding="utf-8"?>
<sst xmlns="http://schemas.openxmlformats.org/spreadsheetml/2006/main" count="789" uniqueCount="423">
  <si>
    <t xml:space="preserve">Booked Bindover cases against the 3 Persons and Opened Rowdy sheets agaist accused  in Murder case   Police peket is continued </t>
  </si>
  <si>
    <t>Action Taken</t>
  </si>
  <si>
    <t xml:space="preserve">The situation in the village is peaceful. The C.I, GNP and S.I,
Nidamarru PS are instructed to keep close watch      about  the movements of both groups, and made counseling  between them and bound over them to avert any untoward incidents.
</t>
  </si>
  <si>
    <t>SI Stated Warrned  both parties</t>
  </si>
  <si>
    <t xml:space="preserve">
SI stated that S.I is instructed to keep close watch about the movements of both groups,  as in future there is every change that their rivalry may leads to Law &amp; Order, both parties are compromised situation is peacefull.
</t>
  </si>
  <si>
    <t xml:space="preserve">SI stated that Previously in the year 2021, both parties bound over before  RDO  vide Cr. No 265/2021 U/s 107 Cr.P.C. The C.I, GNP
and S.I, Nidamarru PS are instructed to keep close watch about the movements of both groups, and    made
counseling between them to avert any untoward incidents.
</t>
  </si>
  <si>
    <t>SI stated that Both parties are compromised,The situation in the village is peaceful. The MLA Unguturu C.I, GNP and S.I, Chebrole PS are instructed to keep close watch      about the movements of both groups, and made counseling between them to avert any untoward incidents.</t>
  </si>
  <si>
    <t>SI stated that Both parties are compromised,The situation in the village is peaceful. The MLA Unguturu C.I, GNP and S.I, Chebrole PS are instructed to keep close watch      about the movements of both groups, and made counseling between them to avert any untoward incidents</t>
  </si>
  <si>
    <t>SI stated that Now the situation is peaceful in the village. The C.I Kaikaluru  and S.I., Mandavali PS are instructed to keep close watch about the movements of both groups and made counseling between them as in future there is every chance that their rivalry may leads to any Law &amp; Order issue.</t>
  </si>
  <si>
    <t>Present Status</t>
  </si>
  <si>
    <t>Present  Status</t>
  </si>
  <si>
    <t>S.No</t>
  </si>
  <si>
    <t>Name of the PS</t>
  </si>
  <si>
    <t>Name of The Ward/ Village</t>
  </si>
  <si>
    <t>Issue</t>
  </si>
  <si>
    <t>Remarks/ Action Taken</t>
  </si>
  <si>
    <t>Category</t>
  </si>
  <si>
    <t xml:space="preserve">Without FIR in 107 Cr.PC </t>
  </si>
  <si>
    <t xml:space="preserve">Both parties were produced to the Hon'Ble MEM, court, Unguturu Mandal, unguturu, </t>
  </si>
  <si>
    <t>Case is disposed as MF On 31.12.2021, The situation in the village is peaceful</t>
  </si>
  <si>
    <t>The situation in the village is peaceful</t>
  </si>
  <si>
    <t>Both parties are compromised,The situation in the village is peaceful.</t>
  </si>
  <si>
    <t xml:space="preserve">Both parties were compramised </t>
  </si>
  <si>
    <t xml:space="preserve">SI stated that The situation in the village is peaceful. The C.I, GNP and S.I,
Chebrole PS are instructed to keep close watch      about  the movements of both groups, and made counselling  between them and boundover them if necessary to avert any untoward incidents.
Now Chinthala Vasu at nellor(business) fish tanks
</t>
  </si>
  <si>
    <t xml:space="preserve">The C.I, GNP and S.I,
Nidamarru PS are instructed to keep close watch      about  the movements of both groups, and made counseling  between them and bound over them to avert any untoward incidents.
</t>
  </si>
  <si>
    <t xml:space="preserve">The situation in the village is peaceful. </t>
  </si>
  <si>
    <t>PROPERTY DISPUTES BETWEEN FAMILY:</t>
  </si>
  <si>
    <t>Present Situation is Peaceful</t>
  </si>
  <si>
    <t xml:space="preserve"> kept close watch about the movements of  both  groups</t>
  </si>
  <si>
    <t>Dwaraka Tirumala PS</t>
  </si>
  <si>
    <t>G.Kothapalli villages</t>
  </si>
  <si>
    <t>POLITICAL RIVALRY BETWEEN YSRCP:Ganji    Naga    Prasad    S/o    Bhaskara    Rao,57years, G. Kothapalli village is village party president and  the respondents Birudugadda Bajarayya is elected as MPTC for YSRC Party in G. Kothapalli village. The aggrieved party Birudugadda     Bajarayya     to     show     his dominance   in   the   village,   as   Ganji   Naga Prasad   is  making  hindrance  on  each  and every   political   aspect.   Ganji   Naga   Prasad was  murdered  by  his  opponents.     In  this regard,  Cr  No.148/2022 U/s 302,  120-B  r/w 34 IPC of D.Tirumala PS was registered. 1.Gollapalli    Veerraju,    2.Kasse    Ratnaraju, 3.Gollapalli Madhu 4.Gollapalli  Gangaraju,  5.Kasse  Tambayya, 6.Kasse      Gangaraju,      7.Boda      Naganna, 8.Ponguleti   Bhusanam,   9.Minda   Subbarao And some others.(Y.S.R.C.P.)
1.Birudugadda          Bajarayya,           2.Reddy Satyanarayana,     3.Undrajavarapu     Mohan, 4.Mandavalli    Suresh,    5.Sanam    Hemanth, 6.Sanam Bhanu Prakash, 7.Ganji Nagarjuna
And some others. (Y.S.R.C.P.)</t>
  </si>
  <si>
    <t>Even if the situation in the village    is    peaceful,    in future     there     is     every chance  to  get  revenge  by the       deceased       family against  Bajarayya  and  his followers.     The     C.I     of Bhimadole/Ganapavaram and  S.I,  D.Tirumala  PS  is instructed   to   keep   close watch           about           the movements        of        both groups,         and         made counselling            between them.     Instructed     some bound over cases must be registered.</t>
  </si>
  <si>
    <t>Previously   in   the   year 2021, both parties bound over   before   RDO   vide Cr.    No   265/2021   U/s 107 Cr.P.C. The C.I, GNP
and   S.I,   Nidamarru   PS are   instructed   to   keep close  watch  about     the movements      of      both groups,          and     made
counseling           between them      to      avert      any untoward incidents.</t>
  </si>
  <si>
    <t>The     situation     in     the village  is  peaceful.   The C.I,     GNP         and     S.I,
Chebrole          PS          are instructed  to  keep  close watch      about             the movements      of      both groups,          and     made counse</t>
  </si>
  <si>
    <t>SI stated that Filed 144 Procedings before MEM, The situation in the village is peaceful. The C.I,     GNP          and     S.I,
Chebrole         PS         are
instructed to keep close watch      about  the movements of both groups, and made counseling  between them to avert any untoward incidents. political issue</t>
  </si>
  <si>
    <t>Eluru Rural</t>
  </si>
  <si>
    <t>Gudivakalanka</t>
  </si>
  <si>
    <t>Prathikollanka</t>
  </si>
  <si>
    <t>Bhimadole</t>
  </si>
  <si>
    <t>D.Tirumala</t>
  </si>
  <si>
    <t>Nidamarru</t>
  </si>
  <si>
    <t>Devaragopavaram</t>
  </si>
  <si>
    <t>Bhuvanapalli</t>
  </si>
  <si>
    <t>Pedanindrakolanu</t>
  </si>
  <si>
    <t>Chebrole</t>
  </si>
  <si>
    <t>Kaikaram</t>
  </si>
  <si>
    <t>Unguturu</t>
  </si>
  <si>
    <t>Bommidi</t>
  </si>
  <si>
    <t>Kaikaluru Rural</t>
  </si>
  <si>
    <t>Kalidindi</t>
  </si>
  <si>
    <t>Mudinepalli</t>
  </si>
  <si>
    <t>Mandavalli</t>
  </si>
  <si>
    <t>Unikili</t>
  </si>
  <si>
    <t>Now    the    situation    is peaceful   in   the   village. The   C.I   Kaikaluru   and S.I.,   Mandavali   PS   are instructed  to  keep  close watch         about         the movements      of      both groups        and        made counseling           between them as in future there is every   chance   that   their rivalry may leads to any Law &amp; Order issue.</t>
  </si>
  <si>
    <t>The     situation     in     the village  is  peaceful.   The C.I,     GNP         and     S.I,
Nidamarru        PS        are instructed  to  keep  close watch      about             the movements      of      both groups,          and     made counseling           between them     and  bound  over them      to      avert      any untoward incidents.</t>
  </si>
  <si>
    <t>The     situation     in     the village  is  peaceful.   The C.I,     GNP         and     S.I,
Chebrole          PS          are instructed  to  keep  close watch      about             the movements      of      both groups,          and     made counselling          between them     and     boundover them    if    necessary    to avert      any      untoward incidents.</t>
  </si>
  <si>
    <t>Sriparru</t>
  </si>
  <si>
    <t>The situation in the village is peaceful. The C.I, GNP   and S.I,     Nidamarru     PS     are instructed    to    keep    close watch about  the movements of  both  groups,    and  made counseling    between    them and   bound   over   them   to avert         any         untoward incidents.</t>
  </si>
  <si>
    <t>Alapadu</t>
  </si>
  <si>
    <t>The situation in the village is peaceful. The C.I, GNP   and S.I,       Chebrole       PS       are instructed    to    keep    close watch about  the movements
of  both  groups,    and  made counseling  between  them  to avert         any         untoward incidents.</t>
  </si>
  <si>
    <t>Eluru II Tn.</t>
  </si>
  <si>
    <t>Chepalatoomu centre,  Eluru</t>
  </si>
  <si>
    <t>Inspector   of   police   gave counselling   to   the   both parties,         and         night patrolling   done   by   beat men,  and  also  instructed to     concern           division WMSK'S    to    look    over their issues</t>
  </si>
  <si>
    <t>Kakarlamudi</t>
  </si>
  <si>
    <t>The     situation     in     the village   is   peaceful.   The C.I,       GNP       and       S.I,
Chebrole           PS           are instructed   to   keep   close watch           about           the movements        of        both groups,            and      made counseling  between  them to    avert    any    untoward incidents.</t>
  </si>
  <si>
    <t>INTERNAL DIFFERENCES AMONG THE YSRCP GROUPS EXISTED:
Jayamangala Prabhavathi and her Husband, YSRCP
And
Bale Ramayya, YSRCP</t>
  </si>
  <si>
    <t>DIFFERENCES     EXISTED     BETWEEN     VADDI COMMUNITY   YSRCP   (BANTAS)   FOR   THEIR HIGH HANDNESS:
Ghantasala Mahalakshmi Raju, YSRCP (Big Banta 8)
And
Bale Ananda Rao, YSRCP (Small Banta-7)</t>
  </si>
  <si>
    <t>FAMILY DISPUTES BETWEEN BOTH GROUPS:
Kakarala Vijay Kumar @ Nani, s/o Yesubu, 32 y, c/ Sc Mala, R/o Devaragopavaram village of Nidamarru mandal and others.
VS
Kakarala Jayamani, w/o Yobu @ Yebu, 26 y, c/ SC mala, R/o Devaragopavaram village of Nidamarru mandal and others
There      are      some      previous      family      disputes pending between A-Party and B-Party. They used to settling   their   scores   by   means   of   violence   and attacking  against  each  regarding  property  disputes. In this regard, they both filed cases and counter cases vide 1). Cr.No. 262/2021 U/S 448, 427, 323, 324 R/W
34  IPC,  2).  Cr.No.  261/2021  U/S  448,  324  R/W  34
IPC,  3).  Cr.No  60/2021  u/s  354,323,324 r/w 34  IPC,
4).  Cr.No  61/2021  u/s  323,324  R/W  34  IPC,   5).  Cr.
No.    52/2022   U/S   448,   324   R/W   34   IPC   and
6).Cr.No.53/2022 U/S 324 R/W 34 IPC.</t>
  </si>
  <si>
    <t>DISPUTES BETWEEN OWN BROTHERS:
They  are  own  brothers  are  disputing  against  each regarding   properties   inherited   from   their   father. They   used   to   settling   their   scores   by   means   of violence    and    attacking    against    each    regarding property  disputes.  In  this  regard,  they  both  filed cases  and  counter  cases  vide  1).Cr.No.41/2017  U/s 353 r/w 34 IPC, 2).Cr.No.129/2020 U/s 323, 324 r/w
34  IPC,  3).  Cr.No.30/2013  U/s  448,  427,  290,  506,
r/w34iPC,  4).  Cr.no.  37/2013  U/s  341,  323,506  r/w 34 IP C of  Nidamarru PS and one case registered  at Ganapavaram  PS  vide  Cr.no.299/2021  U/s  302,  341 IPC against B.Party. 6). Cr.No.492/2020 U/s 34(a) of AP Excise Amnd. Act 2020.</t>
  </si>
  <si>
    <t>TWO STRONG REVELRIES IN THE VILLAGE BETWEEN (TDP) VS (YSRCP) :
Puppala Gopi, S/o Rama Krishna, 43 Yrs, Kapu,
(YSRCP), Kaikaram village
Vs.
Chintala  Srinivasu  @  Vasu,  S/o  Rama  Krishna,  42 Yrs, K Velama, (TDP), Kaikaram village
1. 121/2019 U/s 307 r/w 34 IPC, Sec 3 (1) (r) (s) of SC
ST Act 2015 of Chebrole PS,
2. 123/2019 U/s 307 r/w 34 IPC of Chebrole PS</t>
  </si>
  <si>
    <t>INTERNAL DIFFERENCES AMONG YSRCP:
Internal differences among the Groups existed. SK. Baji, C/BC, YSRCP Leader Vs
Dasari Satyanarayana@ DS C/Kamma, YSRCP
leader.</t>
  </si>
  <si>
    <t>INTERNAL DIFFERENCES AMONG YSRCP
Both  are  YSRCP  leaders,  they  are  involving  Police Station crime related matters and causing troubles in the village.
Medavarapu Kiran, C/ Kapu YSRCP leader, Wife: MPTC.
Vs.
Maddula Trimurthulu C/Kapu YSRCP leader.</t>
  </si>
  <si>
    <t>SOCIETY LAND ISSUE BETWEEN SC, NON SC COMMUNITY PEOPLE &amp; UDDANDU RAMA RAJU:
Uddandu Rama Raju,  Vs
SC caste people of Unikili Village.
In    the    year    1985    Government    assigned    land measuring about Ac.150.00 in RS Nos.7 to 27, located in Vunikili village to the 69 SC community people, 32 non  SC  community  people  and  freedom  fighters  ie total  101  persons.  The  above  land  possessors  given entire  land   to   Uddaraju  Rama  Raju  for  lease  since long  time  vide  3  lease  agreements.  Some  main  SC community  people  started  demanding  and  forcing Uddandu Rama Raju to vacate their fish tanks as he without   the   consultation   of   main   SC   community members who entered into agreement with the Rama Raju.</t>
  </si>
  <si>
    <t>TWO GROUPS IN YSRCP:
Bhimavarapu  Hema  Sundari,  w/o  Suresh, A/   years, c/Settibalija     R/o 39 th division, Gudivadavari  street,    Chepalatumu  centre, Eluru Occ/ Corporator com Advocate
And
Tumarada   Sravanti,   w/o   Nagaraju,   A/40 years,    C/    T    kapu,    R/o    40th    division, Tumaradavari   street,   Chepalatumu   centre, Eluru Occ/ Carporator.
YSRCP   Party   members   divided   into   two
groups,  they  are  used  to  dispute  with  each other for over and high handiness.</t>
  </si>
  <si>
    <t xml:space="preserve">Present situation is peaceful. </t>
  </si>
  <si>
    <t>FLEXI  ISSUES IN TDP AND YSRCP:
Saidu Govardhan, TDP Mandal Vice President And
Mandala Kondalu, YSRCP activist, (Wife: Mandala Sarswathi, ZPTC, Eluru Mandal).</t>
  </si>
  <si>
    <t>Present situation is peaceful in tha village and Police picket is is continued.  No issues found</t>
  </si>
  <si>
    <t>No issues found and present situation is peacefull</t>
  </si>
  <si>
    <t>No incidents occurred, present situation is peaceful</t>
  </si>
  <si>
    <t>Ganapavaram</t>
  </si>
  <si>
    <t>Chilakampadu Village, Ganapavaram mandal</t>
  </si>
  <si>
    <t>Later, in that issued 145 CRPC proceedings against both parties Registered in Cr No 267/2021 u/s 1245 crpc vide MC 63/2021 Dt. 24-09- 2021 and the same was pending before the Mandal Executive Magistrate, Ganapavaram. and 1) Cr. No. 145/2018   under sections  420, 352, 323,  506 r/w.  34  IPC and Sec.   3(1) of   SC ST (POA)   Act   2)  CR  No’s    265/2021  U/s  447,  323, 427 r/w 34 IPC CR  No’s  265/2021 and 3) Cr No 266/2021 U/s 341,  427, 352,  506 R/w  34IPC and Sec 3 (2) (b) g v s (va) of SC St POA Act   (Refereed   as   Lack   of   evidence)   were registered.</t>
  </si>
  <si>
    <t xml:space="preserve">Fied 145 Proceeding before MEM and SI Stated Warrned  both parties
</t>
  </si>
  <si>
    <t>Cr No 148/18 ( Refereed as False)  2 .CR  No’s    265/2021 (Reffe3red as false) 3. Cr No 266/2021(Refereed   as   Lack   of   evidence)</t>
  </si>
  <si>
    <t>Veereswarapuram village, Ganapavaram Mandal</t>
  </si>
  <si>
    <t>Case was registered that issue in Cr No 244/201 u/s 145 Crpc proceedings both parti9es bind overedThe situation in the village is peaceful. The 
 S.I Ganapavaram PS is instructed to keep close watch about the movements of both groups, and made counseling between them to avert any untoward incident</t>
  </si>
  <si>
    <t>Saripalli village, Ganapavaram Mandal</t>
  </si>
  <si>
    <t>FAMILY HOUSE DISPUTE AMONG FAMILY REGARDING HOUSE:
 1. Mandalanka Anandkumari, w/o Prasad,50 years, SC-Mala, Saripalle Village of Ganapavaram Mandal.
 Vs
 1. Mandalanka John Martin, s/o Jesu Ratnam,Saripalle Village of Ganapavaram Mandal.
 2. Mandalanka Jaya Aseervadham, S/o. Jesu ratnam, 57 years, SC-Mala, Saripalle village, Ganapavaram Mandal</t>
  </si>
  <si>
    <t>Filed 145 Proceding before MEM and SI Stated Warrned  both parties</t>
  </si>
  <si>
    <t xml:space="preserve">Jallikommara Village Ganapavaram Mandal </t>
  </si>
  <si>
    <t>1.        Cr. No. 274/2022 u/s 325,448,324,323, 506 r/w 34 IPC  
2.        Cr. No. 275/2022 u/s 324,323 r/w 34 IPC
3.        Cr. No. 290/2022 u/s 448, 427,323, 506, 509 r/w 34 IPC   
4.       Cr No 122/2023 u/s 427, 506, 509 IPC</t>
  </si>
  <si>
    <t>Filed 107 crpc Proceding before MEM and SI Stated Warrned  both parties</t>
  </si>
  <si>
    <t>1. Cr. No. 274/2022 PT Vide CC No 1103/2022
2. Cr. No. 275/2022 PT Vide CC No 1104/2022
3. Cr. No. 290/2022 PT Vide CC No 1196/2022
4. Cr No 122/2023 u/s 427, 506, 509 IPC PT Vide 590/2023</t>
  </si>
  <si>
    <t>Pippara Village Ganapavaram Mandal</t>
  </si>
  <si>
    <t>Case was registered that issue in CrNo 188/2020 u/s 107 Crpc</t>
  </si>
  <si>
    <t>VILLAGE ISSUES 
IN 
ELURU DISTRICT</t>
  </si>
  <si>
    <t>Krovidi</t>
  </si>
  <si>
    <t>TWO GROUPS IN YSRCP:&amp; JSP, TDP
Dhanukonda Lakshmayya @ Bujji YCP leader, . Vs.
Lenin,  TDP,  Krovvidi
 they are maintaining two groups.</t>
  </si>
  <si>
    <t>SI stated that Both parties are compromised,The situation in the village is peaceful. The MLA Unguturu C.I, NDMR and S.I, Nidamarru PS are instructed to keep close watch      about the movements of both groups, and made counseling between them to avert any untoward incidents.</t>
  </si>
  <si>
    <t xml:space="preserve">political Issue Both parties were compramised </t>
  </si>
  <si>
    <t xml:space="preserve"> BOTH PARTIES DISPUTED REGARDING FISH TANK IN THE VILLAGE:
 One Goluguri Ramakrishna Reddy S/o Subbi Reddy, 45 years, C/Reddy, resident of
 Veereswarapuram village, Ganapavaram Mandal and 2 others as “A” party and Vaddi Srinivas S/o Venkatesh, 36 years, C/SC- Mala, resident of Veereswarapuram village, Ganapavaram Mandal and another as “B” party, whom between exists a dispute over possession and enjoyment of fishpond, admeasuring an extent of Ac.2.16 cents,
 situated in R.S. Nos. 135-A &amp; 135-B of Cherukuganuma Agraharam village, Ganapavaram Mandal, resulting in creation
 of law and order problem in the village. In that  issue  two  cases  were  registered  against both parties vide </t>
  </si>
  <si>
    <t>STRONG REVELRIES BETWEEN TDP &amp;
YSRCP: (Political dispute)
Kalla  Naga  Venkata  Satyanarayana  @  Naga Pandu,    S/o    Satyanarayana,    43    Yrs,    K Velama,       Sarpanch        (TDP)Kakarlamudi village (Sarpanch)
VS
Kuna Pothu Raju, S/o Rama Krishna Rao, 49 Yrs, Kapu, MPTC, (YSCP), Kakarlamudi village (MPTC)
Two Strong Revelries in the village between Sarpanch (TDP) Vs MPTC (YSRCP)  and
they are disputing each other and filing cases.
1).  Cr.No.315/2021 U/s 143, 324 r/w 149 IPC, Sec 3(2) (Va) of SC ST Act 1989 of Chebrole PS
2. Cr.No. 316/2021 U/s 143, 324, 506 (2) r/w
149 IPC
3) 27/2025 U/s 329 (4), 324(4), 118 (1), 115 (3) R/w 3 (5) BNS 
4) 28/2025 U/s  115 (3), 118 (1) R/w 3 (5) BNS 
5) 47/2025 U/s 115(2),351 r/w 3(5) BNS &amp; sec 3(1)®(s), 3(2)(va) of SC &amp; ST (POA) act-1989
6) 69/2025 U/s 127(2), 326 (f) BNS</t>
  </si>
  <si>
    <t>Chinna Vellamilli</t>
  </si>
  <si>
    <t>TWO STRONG REVELRIES IN THE VILLAGE BETWEEN (TDP) VS (JANASENA) :
1. Komati Satyanarayana S/o Tatabbai, 56 Yrs, C/Gowda, ChinnaVellamilli village, UnguturMandal.(YSRCP)
Vs.
Chenna Mariyya S/o VenkataRatnam, 46 years, Kapu, ChinnaVellamilli village, UnguturMandal.(JANASENA)       
1. 263/2024 U/s 126(2),109 r/w 3(5) BNS of Chebrole PS,
2.267/2024 u/s 109 R/w 3(5) BNS of Chebrole PS</t>
  </si>
  <si>
    <t>The     situation     in     the village  is  peaceful.   The C.I,     GNP         and     S.I, Chebrole          PS          are instructed  to  keep  close watch      about             the movements      of      both groups,          and     made counselling          between them     and     boundover them    if    necessary    to avert      any      untoward incidents.</t>
  </si>
  <si>
    <t xml:space="preserve">SI stated that The situation in the village is peaceful. The C.I, GNP and S.I,
Chebrole PS are instructed to keep close watch      about  the movements of both groups, and made counselling  between them and boundover them if necessary to avert any untoward incidents.
</t>
  </si>
  <si>
    <t>Both parties are compromised,The situation in the village is peaceful.  C.I, GNP and S.I, Chebrole PS are instructed to keep close watch      about the movements of both groups, and made counseling between them to avert any untoward incidents</t>
  </si>
  <si>
    <t>Ravulaparru</t>
  </si>
  <si>
    <t xml:space="preserve">STRONG REVELRIES BETWEEN TDP &amp; YSRCP:
Tadisetti Prasad S/o Ambiswamy, A/35 years, C/Sagara, R%avulaparru Village of Unguturu Mandal(TDP)
Vs.1. Gadi Venkata Ramana S/o Venkateswara Rao, A/36 years, C/Sagara, Ravulaparru village of Unguturu Mandal, 9618447439, adhar: 319978841124(YSRCP)
Two Strong Revelries in the village between  (TDP) Vs  (YSRCP)
1. Cr.No. 241/2024 U/s 126(2),115(2) r/w 3(5) BNS of Chebrole PS
2. Cr.No.242/2024 U/s 115(2),118(1) r/w 3(5) BNS </t>
  </si>
  <si>
    <t>BOTH PARTIES DISPUTED REGARDING AGRICULTURAL LAND IN THE VILLAGES
 1. Goluguri Sri Rama Vara Praveen Reddy s/o Satiesh Chandrareddy, 26 years, Reddy, Kommara
 (V) of Attili (M),
 2. Goluguri Durga, W/o Satiesh Chandrareddy, A/48, C/Reddy, Kommara (V) of Attili (M), Vs
 1. Goluguri Srilakshmi w/o Rajashekar Reddy, 35
 years, Reddy, Veereswarapuram Agraharam
 (V) of Ganapavaram (M),
 2. Goluguri Rajashekar Reddy s/o Meera Saheb
 Reddy, 40 years, Reddy, Veereswarapuram Agraharam (V) of Ganapavaram (M),</t>
  </si>
  <si>
    <t xml:space="preserve">FAMILY PATHWAY DISPUTE:I further submitted that “A” Party and “B” Party are having common way  disputes for physical possession in  Jallikommara Village of Ganapavaram mandal in respect of vide R.S No. 171/3,. 
The “A” party respondents and “B” Party respondents are having disputes regarding above noted common way. In this connection, on 13-11-2022 and 07-12-2022, A Party complained against B Party, basing on the report of A Party, a case was registered vide reference above cited No.1&amp;3, on 13-11-2022, B Party complained against A Party, basing on the report of B Party, a case was registered vide reference above cited No.2, in which both parties were got altercated with each other and created law and problem. 
A” Party:
R-1. Kurella Srinivas, S/o Rama Krishna, 37yrs, Kapu, Jallikommara village of          
        Ganapavaram Mandal.
R-2. Bodapati Satyanarayana, S/o Late Venkatrao Rao, 64yrs, Kapu, Jallikommara 
       village of Ganapavaram Mandal.
R-3. Kurella Naga Vara Lakshmi, w/o Srinivas, 36yrs, Kapu, Jallikommara village of 
        Ganapavaram Mandal.
R-4. Kurella Veera Venkata Ram Babu@ Ram Babu, S/o Rama Krishna, 40yrs, Kapu, 
       Jallikommara village of Ganapavaram Mandal 
R-5. Kurella Dhana Sri Venkata Narasimha Satya Konda, S/o Srinivas, 19yrs, Kapu,         
       Jallikommara village of Ganapavaram Mandal. 
“B” Party:
R-1. Kavala Venkateswara Rao, S/o Samudrudu, 56yrs, C/ Kapu, Jallikommara village  
         of Ganapavaram Mandal
R-2. Kavala Dharma Raju, S/o Venkateswararao, A/32, C/ Kapu, Jallikommara village of 
        Ganapavaram Mandal
R-3. Kavala Bhismudu, S/o Pothu Raju, A/43yrs, C/Kapu, Jallikommara village of 
        Ganapavaram Mandal
R-4. Kavala Peddi Raju, S/o Venkatatulasi @ Dattudu, A/31yrs, C/Kapu, Jallikommara 
       village of Ganapavaram Mandal 
R-5. Vallapu Tata Rao, S/oVenkata  Subba Rao, A/42yrs, C/Kapu, Jallikommara village 
       of Ganapavaram Mandal
R-6. Maddala Santhiraju @ Yesu, S/o Ramakrishna, A/25, C/Kapu, Jallikommara village 
       of Ganapavaram Mandal
R-7. Maddala Manikanta s/o Rama Krishna, A/23, C/Kapu, Jallikommara village of 
        Ganapavaram Mandal. 
R-8. Maddala Srinivasa Rao S/o Jyotheswara Rao, A/46Yrs, C/ Kapu, Jalli Kommara 
        Ganapavaram Mandal. 
R-9. Maddala Konda Raju S/o Jyotheswara Rao, A/42Yrs, C/ Kapu of Jallikommara 
        village of Ganapavaram Mandal. 
R-10.Maddala Venkanna, S/o Appa Rao, 35yrs, Kapu, Jallikommara village of 
         Ganapavaram Mandal. 
R-11.Maddala Bala Tripura Sundhari w/o Venkanna, 32yrs, Kapu, Jallikommara village 
          of Ganapavaram Mandal. 
</t>
  </si>
  <si>
    <t>BOTH PARTIES DISPUTED REGARDING AGRICULTURAL LAND IN THE VILLAGES
There is some property disputes pending between A Party: R-1. Bayye Johan Prabhakararaju s/o Raju, 60 years, A.Gopavaram (V) of Ganapavaram (M), R-2. Bayye Kamala w/o John Prabhakararaju, 58 years, A.Gopavaram (V) of Ganapavaram (M), R-3. Udumudi Siromani w/o Venkanna, 34 years, Valluru (V) of Ganapavaram  (M) R-4. Ganta Ribka w/o Anandarao, 32 years, Velagapalli (V) of Ganapavaram (M) B Party:  R-1 Gummapu Venkatarao s/o Veera Swamy, 55 years, A. Gopavaram (V) of Ganapavaram (M), R-2. Gummapu Ravi Kiran s/o Venkata Rao, 33 years, A. Gopavaram (V) of Ganapavaram (M),R-3. Gummapu Mariyamma w/o Venkata Rao, 50 years, A. Gopavaram (V) of Ganapavaram (M), about the said disputed land . Rs. No. 482, 483-2 and 483-2B with extent of Ac.1-44 cents, Pippara Village of Ganapavaram Mandal, There is every possibility that the both the parties may resort to criminal and violent acts against each other posing Law and order problem causing breach of peace and public tranquility in said place, Hence prepared Occurrence report by Sri M Veerababu, SI of Ganapavaram P.S. for bind over before the sub divisional executive magistrate, Eluru for  breach of peace</t>
  </si>
  <si>
    <t>TWO GROUPS IN YSRCP:
Udese Rama Murthy C/o Kapu, TDP leader, 9(1) organizer. Vs.
Kode Kasi, C/Kapu,  YSRCP, ZPTC Nidamarru
Both are YSRCP,TDP leaders, but they are maintaining two groups.</t>
  </si>
  <si>
    <t xml:space="preserve">PROPERTY DISPUTES BETWEEN FAMILY:
They   both   are   family  members.   They   disputing against  each  regarding  properties  inherited  from their  father.   In  this  regard, a  case Cr.No.144/2020 U/s 326, 386 r/w 34 IPC against A. Party.
Rudraraju Srinivasa Raju, S/o Bheemaraju, 50 years, C/Kshatriya, Journalist, R/o H.No. 1-49-2(2), Aerodrome Street, A.P.H.P. Colony, Tadepalligudem, N/o Pedanindrakolanu Village, Nidamarru Mandal.
VS
Rudraraju Venkata Gandhi Raju, S/o Peddiraju, 35 years, C/Kshatriya, Pedanindrakolanu Village, Nidamarru Mandal. </t>
  </si>
  <si>
    <t>Chinanidrakolanu</t>
  </si>
  <si>
    <t xml:space="preserve">PROPERTY DISPUTES BETWEEN FAMILY "A" partyy  Suryanarayana Raju,Uddaraju Ananda Raju s/o Ramachandra Raju, 27 years, Kshatriya, China 
 Nindrakolanu (V), Nidamarru (M). And  "B" Party 1) Uddaraju Srinivasa Raju of China Nindrakolanu (V), Nidamarru (M) and his son 
2) Uddaraju Phanindra Varma s/o Srinivasa Raju of China Nindrakolanu (V), Nidamarru (M).property disputes and presently civil disputes pending before the Hon’ble court, Tadepalligudem and they are frequently dispute raised in between it is pertaining to Case registered  Cr.no.104/2024 u/s 109 , r/w 3(5) BNS On 10.7.2024
</t>
  </si>
  <si>
    <t>A</t>
  </si>
  <si>
    <t>B</t>
  </si>
  <si>
    <t>C</t>
  </si>
  <si>
    <t>Gunaparru</t>
  </si>
  <si>
    <t>The situation in the village is peaceful. The C.I,  and S.I,       Nidamarru     are instructed    to    keep    close watch about  the movements
of  both  groups,    and  made counseling  between  them  to avert         any         untoward incidents.</t>
  </si>
  <si>
    <t>C.I, and S.I,
Nidamarru  are instructed to keep close watch      about  the movements of both groups, and made counselling  between them and boundover them if necessary to avert any untoward incidents.</t>
  </si>
  <si>
    <t>Currently, there are no disputes or conflicts</t>
  </si>
  <si>
    <t>Kaikaluru  Town PS</t>
  </si>
  <si>
    <t xml:space="preserve">Danagudem Village Kaikaluru </t>
  </si>
  <si>
    <t>CASTE BASED DISPUTE ARISED BETWEEN KAPU AND SC COMMUNITY ON EVE OF GANESH PROCESSION:
On 05-09-2025, during the Ganesh idol immersion procession organized by the Kapu
community led by Thotakura Tulasi Poorna, a communal clash occurred between
members of the Kapu and SC-Mala communities in Danagudem (V), Kaikaluru Town.
The conflict originated from a previous altercation on 31-08-2025 during a cultural
program at the idol site, which was initially settled by police
However, tensions resurfaced when some SC youth, including Paiyeddu
Ajay (19), reportedly drove their motorcycles rashly during the procession, leading to a
heated argument and subsequent physical assault by Kapu members, resulting in
bleeding injuries to Ajay and Paiyeddu Vijay, and simple injuries to two others. Based
on Ajay's complaint, a case was registered in Cr.No.89/2025 U/s 109, 126(2), 115(2), 118(1), 74, 79 r/w 3(5) of BNSand  SEC 3(1)(r)(s), 3(2)(V) . of SC &amp; ST (POA) Act on 06-09-2025 at 03:00 AM against.Thotakura Tulasi Poorna and others. Danagudem village comprises approximately
600 SC-Mala families and 300 Kapu families. In the aftermath of the incident, local SC
leaders and YSRCP activists have reportedly been provoking the issue through media
channels, increasing the risk of further communal unrest</t>
  </si>
  <si>
    <t xml:space="preserve">Inspector   of   police   registered  cases put pickets and nakabandi monitoring closely and continuing 144 sec in kaikaluru </t>
  </si>
  <si>
    <t xml:space="preserve">REGISTERED CASES PUT PICKETS AND NAKABANDI IN VILLAGE AND CONTINUING 144 SEC IN KAIKALURU </t>
  </si>
  <si>
    <t>Nuzvid Town</t>
  </si>
  <si>
    <t>Goduguvarigudem</t>
  </si>
  <si>
    <t>LAND ISSUE :
 There is an agriculture land situated in R.S.No. 127/2A, 2C an extent of Ac.29.50 cents within the limits of Goduguvarigudem village of Nuzvid Town. One Kakumani Sravathi Devi, a relative of sitting MLA, Nuzvid, Sri.Meka Venkata Pratapa Appa Rao and Chinnam Narasimha Rao @ Bujji of Nuzvid Town are claiming rights over the land. Resulted both parties were involved in criminal cases vide
 Cr.Nos.1) 308/2019 U/s 420,468,471,341,323,506,447 R/w 149 IPC , 2) 234/2020 U/s 468, 471, 420, 447,
 341, 506, 323, R/w 149 IPC, 3) 241/2020 U/s 447,
 506 r/w 34 IPC, 4) 242/2020 U/s 342, 506 r/w 34
 IPC, 5) 243/2020 U/s 188 IPC
 6) 301/2020 U/s 188,447 R/w 34 IPC
 7) 362/2020 U/s 188, 447 R/w 34 IPC
 8) 578/2021 U/s 188, 447 r/w 34 IPC
 9) 124/2022 U/s 34,353,447-IPC</t>
  </si>
  <si>
    <t>The accused Chinnam Narasimha Rao@Bujji was arrested in Crime No.
 124/2022 U/s 353,447 R/w
 34 IPC and sent for remand.
 * In remaining cases investigation is yet to be completed and all are UI.
 * The Thahsildar, Nuzvid issued proceedings U/s 145 Cr.PC and both parties are restrained to enter into the land.
 * Presently the both parties approached court and obtained status quo orders from the Hon'ble Court.
 * Kept surveillance over both groups.</t>
  </si>
  <si>
    <t>Issued 145(2) Cr.P.C, dt:21.10.2022, proceedings by Tahasildar, Nuzvid and issued summons to both parties</t>
  </si>
  <si>
    <t>Present situation is peaceful.</t>
  </si>
  <si>
    <t>Nuzvid Rural</t>
  </si>
  <si>
    <t>Jangamgudem</t>
  </si>
  <si>
    <t>There is a strong political rivalry in between YSRCP and TDP . Potluri Ashok babu who is the husband of sitting surpanch leading YSRCP party and Patimedha Hanumanthurao who belongs to Kapu comminity is vilage TDP president leads recently clashes aroused in between bothn groups regarding land issue which is located beside the house of Potluri Ashok in this regard cases have been registred vide cr no .104/2023 u/s 153 (a) ,188,353, 506 R/w 34 ipc and cr no 105/2023 u/s 506 IPC and sec 3 (10 (x) sc st act of Nuzvidu Rural ps . In these cases all the accused were arrested . and served notice U/s 41 A crpc .</t>
  </si>
  <si>
    <t>kept close watch on the movements of both political party leadres and sympathazires in the village</t>
  </si>
  <si>
    <t>Issued sec 145(1) Cr.P.C, dt:8.04.2022 vide mc no .147/2022 , proceedings by Tahasildar, Nuzvid and still in force</t>
  </si>
  <si>
    <t>SI stated that warned to both parties and now village is peacefull without any quarel</t>
  </si>
  <si>
    <t>Nuzvid Rural PS</t>
  </si>
  <si>
    <t>Thukkuluru Village</t>
  </si>
  <si>
    <t>There is a strong political rivalry in between YSRCP and TDP . Atchi Kasulu who is the husband of sitting MPTC leading YSRCP party and PACS President Paladagu Vijaya Kumar @ Nani who belongs to Kamma comminity is Village and TDP Leader Anne Suresh recently clashes aroused in between both groups and registered in Cr No Cr No.309/2023 u/s 326, 147,323,109,427,148 r/w 149 r/w 149 IPC &amp; Sec 3(1)®(s) and 3(2)(va) of SC, ST(POA) Act-2015 In This Case UI apprehension of the accused.</t>
  </si>
  <si>
    <t>S.I is instructed to keep close watch about the movements of both groups, as in future there is every chance that their rivalry may leads to
 any Law &amp; Order issue.</t>
  </si>
  <si>
    <t>kept close watch on the movements of both</t>
  </si>
  <si>
    <t>Pedavegi PS</t>
  </si>
  <si>
    <t>Kondalaraopalem village</t>
  </si>
  <si>
    <t>Police picket and bandobust was arranged while they were prepared to lay seize the house of Ex MLA</t>
  </si>
  <si>
    <t>Present situation is Peaceful</t>
  </si>
  <si>
    <t>Denduluru PS</t>
  </si>
  <si>
    <t>Challa Chintalapudi</t>
  </si>
  <si>
    <t>S.I is instructed to keep close watch about the movements of both groups, as in future there is every chance that their rivalry may leads to any Law &amp; Order issue.
Both parties belong to TDP. 
B-Party supported by present MLA</t>
  </si>
  <si>
    <t>kept a close watch on the movements of two groups.
  .</t>
  </si>
  <si>
    <t>Somavarapadu</t>
  </si>
  <si>
    <t>Issue: POLITICAL RIVALRY BETWEEN TDP AND YSRCP:
 A-Party: Vemuri Jithendra Somavarappadu Village of Denduluru Mandal, who is sitting vice MPP ,YSRCP party
 B-party:Chimme Suresh, Somavarappadu Village and Some others TDP Activicts
  There is a strong political rivalry in between YSRCP and TDP. Vemuri Jithendra Somavarappadu Village of Denduluru Mandal, who is sitting vice MPP ,YSRCP party and Chimme Suresh and Some others TDP Activicts recently clashes aroused in between both groups and registered the following cases have been reported 
 1).102/2024 143, 447, 427, 506 R/W 149 IPC of Denduluru PS 
 2). 103/2024 U/s 341, 324 R/W 34 IPC of Denduluru PS</t>
  </si>
  <si>
    <t>S.I is instructed to keep close watch about the movements of both groups, as in future there is every chance that their rivalry may leads to any Law &amp; Order issue.</t>
  </si>
  <si>
    <t>Present situation is peaceful</t>
  </si>
  <si>
    <t>Sriramavaram</t>
  </si>
  <si>
    <t>POLITICAL RIVALRY BETWEEN TDP AND YSRCP:
 A-Party: Kamireddy Nani, Sriramavaram Village of Denduluru Mandal, and some others who is sitting Sarpanch, YSRCP 
 B-Party: Mothukuru Nani,Sriramavaram Village of Denduluru Mandal, and some others TDP Activicts
 Issue: There is a strong political rivalry in between YSRCP and TDP. Kamireddy Nani, Sriramavaram Village of Denduluru Mandal, and some others who is sitting Sarpanch, YSRCP party and Mothukuru Nani,Sriramavaram Village of Denduluru Mandal, and some others TDP Activicts recently clashes aroused in between both groups and registered the following cases have been reported 
 1).106/2024 U/s 341, 324, 323 427 r/w 34 IPC. of Denduluru PS 
 2). 107/2024 U/s 341, 323, 506 r/w 34 IPC.of Denduluru PS 
 3) 196/2025 U/s 109, 126(2), 118(1), 115(2), 351(2), R/w 3(5) BNS of Denduluru PS 
 4)197/2025 U/s 109(1), 118(1), 115(2), 324(4), 351(2), R/w 190 BNS of Denduluru PS</t>
  </si>
  <si>
    <t>kept a close watch on the movements of two groups.</t>
  </si>
  <si>
    <t>Kovvali</t>
  </si>
  <si>
    <t>Issue: POLITICAL RIVALRY BETWEEN TDP AND YSRCP:
 A-Party: Manganti Srinivasarao @ Nikkara Srinu &amp; Soome others( YSRCP Activits)
 B-Party: Gotikala Syam Chandar an some others (TDP Activists)
 There is a strong political rivalry in between YSRCP and TDP. both parties Activicts recently clashes aroused in between both groups and registered the following cases have been reported 
 1) Cr.No..90/2024 U/Sec 324 r/w 34 IPC &amp; Sec.3(1)(r)(s) SC/ST (POA) Amendment Act-2015.of Denduluru PS ,(Accused: A-1.Manganti Srinivasarao @ Nikkara Srinu, A-2.Katta Satyanarayana, A-3. Goriparithi Pavana, S/o Siva Kondalarao( YSRCP Activits),
 2).Cr.No.91/2024, U/s 324, 323 R/w 34 IPCof Denduluru PS , Respondents:A1.Gotikala Syam Chandar &amp; A-2 Gotikala Nagabhushanam (TDP Activists)</t>
  </si>
  <si>
    <t>Nuzvidu Rural</t>
  </si>
  <si>
    <t>Gollapalli</t>
  </si>
  <si>
    <t>In this village there is so many political issues between both YCP and TDP parties .Challari Raghva laeds YCP and Potluri satyanarayana leads TDP besides this sri Rgahunadha samy temple having 3700 acres of land . said land is cultivating ryhts for lease and so many land issues between the rythas and civil cases are pending in the lower court nad hihg court of AP .and aslo in the village there is a spinning mill is being run by Nandhamuri Mealatha and had a clashes in bwtween managamnet and workers regarding wages and aslo had property disputes between her realatives .</t>
  </si>
  <si>
    <t>SI stated that S.I is instructed to keep close watch about the movements of both groups, as in future there is every chance that their rivalry may leads to any Law &amp; Order issue.</t>
  </si>
  <si>
    <t xml:space="preserve">Patha  Ravicherla </t>
  </si>
  <si>
    <t>"In the village of Pata Ravicherla, a clash occurred between two communities after members of the Yadava community placed an idol of Lord Krishna in the committee hall, and similarly, members of the Gouda community, who also reside in the village, placed an idol of Lord Rama in the same committee hall."</t>
  </si>
  <si>
    <t>Agiripalli PS</t>
  </si>
  <si>
    <t>Thotapalli</t>
  </si>
  <si>
    <t xml:space="preserve">POLITICAL RIVALRY BETWEEN TDP AND 
YSRCP:
There is acute rivalry between Arepalli Srinivasa 
Rao, husband of sitting surpanch Arepalli 
Sumalatha, TDP party and Bejawada Rambabu, 
YSRCP. Previousely also Arepalli Srinivasa Rao 
served as surpanch from 2013. Arepalli Srinivasa 
Rao is having good hold in the village. Since 
YSRCP is in power they are trying to show their 
supermacy in the village. The following cases have 
been reported.[1) 107/2021 U/s 323, 506 IPC &amp; 
Sec.(1)(r)(s), 3(2)(va) of SCs, STs (POA) Amendment Act 2015 (PT vide Spl.SC.No.66/2021)2) 108/2021 
U/s 341, 353, 188 r/w 34 IPC.&amp; Sec. 3 of A.P.EDCR 
Act 2020. (UI)3) 109/2021 U/s 341, 353, 188 r/w 34 
IPC (UI). </t>
  </si>
  <si>
    <t>S.I  is  instructed  to  keep close   watch   about   the movements      of      both groups,     as    in    future there    is    every    chance that   their   rivalry   may leads    to    any    Law    &amp; Order issue.</t>
  </si>
  <si>
    <t xml:space="preserve">SI stated that  to keep close watch   about   the movements of both groups, as in  future there is every chance that   their   rivalry   may leads   to   any   Law   &amp; Order issue. </t>
  </si>
  <si>
    <t>Nekkalamgollagudem</t>
  </si>
  <si>
    <t>There is acute rivalry between Macha Haribabu, YSRCP and Nallamothu Ramesh, TDP. One Kaja  Rambabu, Ex-ZPTC who was expelled from YSRCP is also creates problem in the village The main issue in the village is the revenue officials issued Jagananna Illa pattalu near burial ground of Nekkalamgollagudem village which was opposed by the more number of people. The villagers also blocked Vijayawada to Nuzvid main road by staging Rastha Roko and same was pacified with the intervention of police.</t>
  </si>
  <si>
    <t>Pedapadu</t>
  </si>
  <si>
    <t>Kothuru</t>
  </si>
  <si>
    <t>Issue:
 Longstanding rivalry between YSRCP groups in Kothuru Village over sarpanch post-sharing and local dominance.
 Disputes escalated around the rice mill premises (property damage, assaults, and trespass).
 Groups Involved: (2)
 Group of Kadali Govinda Rao (YSRCP):
 Govinda Rao (Rice mill owner, complainant)
 Wife: Padmavathi (YSRCP Sarpanch)
 Associates/Bound-over persons: Kadimi Mahesh, Kadimi Sambasivarao, Kadimi Peddiraju
 Group of Mudunuri Suryanarayana (YSRCP)
 Mudunuri Suryanarayana (Ward Member, ex-Lecturer, YSRCP)
 His son: Muduguru Srivastava (A1)
 Associates: Kadimi Nagaraju (A2), Kadimi Karthik @ Chintu (A3), and others
 Multiple criminal cases registered (Cr.No.105/2022 &amp; Cr.No.244/2025) due to recurring clashes.</t>
  </si>
  <si>
    <t>S.I is instructed to keep close watch about the movements of both groups, as in future there is every chance that their rivalry may leads to any Law &amp; Order issue.
 Both groups are belongs to YSRCP</t>
  </si>
  <si>
    <t>Gudipadu Village</t>
  </si>
  <si>
    <t>Registered the cases against the both parties.</t>
  </si>
  <si>
    <t>Pedavegi</t>
  </si>
  <si>
    <t>Munduru village</t>
  </si>
  <si>
    <t>Issue: There is a strong political rivalry in between two groups. Political parties are Congress party &amp; TDP.
 Congress party - Alapati Narasimhamurthy and others
 TDP - Balusu Ravi Kumar and others
 2 cases registered against both groups. 
  1) Cr. No: 36/2025 U/s 329(4), 324(4), 351(3) r/w 190 BNS of Pedavegi PS
  2) Cr. No: 37/2025 U/s 118(1) BNS of Pedavegi PS</t>
  </si>
  <si>
    <t>Jagannadhapuram</t>
  </si>
  <si>
    <t>Issue: Ongoing land dispute over 16 acres in Jagannadhapuram village, Pedavegi Mandal.
 Situation poses a law &amp; order concern in the village
 Groups Involved:(2)
 Group-1: Chilakalapudi Sambasiva Rao &amp; Supporters
 Complainants in Cr.No.74/2025 U/sec.U/s 329(3), 324(4) r/w 3(5) BNS of Pedavegi PS.
 Group-21: Vegunta Ravishankar &amp; Paladugu Bhanu Prakash Group
 Complainants in Cr.No.50/2025 U/Sec. 329(3), 324(4) r/w 3(5) BNS of Pedavegi PS .
 Due to their frequent clashes, there is a possibility of a law and order problem in the village.
 Multiple clashes leading to cross cases (Cr.No.50/2025 &amp; Cr.No.74/2025) regarding crop damage, property destruction, and assaults.</t>
  </si>
  <si>
    <t>Denduluru</t>
  </si>
  <si>
    <t>Yadava Bazaru Denduluru</t>
  </si>
  <si>
    <t>Issue: Rivalry between SCs of Alugulagudem and Yadavas of Denduluru.
 Triggered during a village festival over a girl, leading to repeated clashes, provocations, and assaults (bike rallies, processions, hotel fight).
 Groups Involved: (2)
 Group-1: SC Youth of Alugulagudem
 (Engaged in provocative bike rides, Ambedkar procession, and clashes with Yadav youths)
 Group-2: Yadava Youth of Denduluru
 Accused persons in Cr.No.286/2023 include: Tattikolla Chandra Vamsi, Veera Babu
 Bathina Naga Mahesh,,Mannela Ganesh, Mannela Srinivas,Akula Vasu,Chedika Kiran, Maganti Suresh
 Case registered as Cr.No.286/2023 U/Sec.U/Sec 341, 326, 506 r/w 34 IPC &amp; Sec.3(1)(r)(s) and 3(2)(va) of SCs/STs (POA) Amendment Act-2015 of Denduuru PS</t>
  </si>
  <si>
    <t>kept a close watch on the movements of two groups</t>
  </si>
  <si>
    <t>Pothunuru</t>
  </si>
  <si>
    <t>* Cases vide Cr.Nos.523/2021 U/s 505
 (ii), 506 IPC and Cr.No. 228/2022 U/s 505 (ii) , 504
 IPC were registered. Both cases are in PT vide CC.Nos.* Cr.No.526/2022
 U/s 505 (ii) IPC was registered and it is UI for examination of witnesses.* All the respondents were called to police station and
 counselled them.</t>
  </si>
  <si>
    <t>Case was registered against the TDP follower in Nuzvid Rural Police Station who is using the social media to abuse the YSRCP followers</t>
  </si>
  <si>
    <t>Councelling conducted to both party followers who is active in social media</t>
  </si>
  <si>
    <t>Seetharampuram</t>
  </si>
  <si>
    <t>There is Strong illfiling between YSRCP and TDP village level Yogi vs Kishore</t>
  </si>
  <si>
    <t>Devaragunta</t>
  </si>
  <si>
    <t>There is Strong illfiling between YSRCP and TDP village level Palnati Raghu vs Thallam Venkateswara Rao</t>
  </si>
  <si>
    <t>Ravicharla</t>
  </si>
  <si>
    <t>There is Strong illfiling between YSRCP and TDP village level Kapa Srinivasa Rao vs Lavu Nagababu</t>
  </si>
  <si>
    <t>Battulavarigudem</t>
  </si>
  <si>
    <t>There is Strong illfiling between YSRCP and TDP village level Mandadi Sankar Rao vs TDP Mandal Parsident Musunuri Seethramaiah @ Raja Babu</t>
  </si>
  <si>
    <t>Sidhardhnagaram</t>
  </si>
  <si>
    <t>There is Political rivalry in between YSRCP and TDP Lederes YSRCP leads Ramisetty Krishna to belong to Kapu community and TDP leads Banavath Bandru belong to Sugali Community there is strong illfilings in between these two community recently a clash aroused and beatn each other and cases has been registered vide Cr.No.173/2023 u/s 354,307,R/W 34 IPC, sec 3(i)(W),3 (2)(V) of SC/ST POA Act,and CR.NO.174/2023 U/S 323,307,R/W 34 IPC, and arrested all the accused in both cases and sent them for remand .</t>
  </si>
  <si>
    <t>Pallerlamudi</t>
  </si>
  <si>
    <t>there is a strong political railvary between YCP and TDP .In the village Poimetla Naga Siva Kumar is a mandal YCP,president leads YCP party Group and Atluri Bramahaji Chowdary is leading TDP party recently clashes aroused in betwwn both groups regariging boundry dipsutes and also preivious grudges in thisd regrads a cas in CR no .453/2022 U/s 447,324,506 R/w 34 IPC of Nuzvidu Rural ps and deployerd police picket in the village at that time letter , The TDP sympathizers Atluri Bramhggaji and his associates were bound over before MEM Nuzvidu . cr no .127/2023 u/s 506 IPC and sec 3 (x) sc st poa act was rtegiisterd agianst TDP sympathaizres regarding theft of mangos and abuseing the lady sitting surpanch who belongs to YCP party .</t>
  </si>
  <si>
    <t>In Pallerlamudi village of Nuzvid Mandal, there is a church under the name ICM (Indian Christian Mission). The main headquarters of this church is located in Eluru. The ICM Church in Pallerlamudi functions under the guidance and direction of the Eluru-based ICM organization. This parent body oversees a total of 84 churches and 32 schools.
In the year 2000, an individual named Nakka John @ S.D. Raju, who was working under the ICM organization, established a new organization under the name ICMC. Since then, disputes have arisen over the claim that ICM and ICMC are the same organization. Initially, the Eluru headquarters of ICM declared that the two were one and the same, which led to disagreements.
Subsequently, J. Suryaprakash Rao, on behalf of the ICM organization, filed a case in the Eluru Court. The court ruled that ICM and ICMC are two separate entities. Following this, Nakka John @ S.D. Raju, representing ICMC, filed another case in the Chintalapudi Court, claiming once again that the two organizations are the same and that 52 acres of land belonged to ICMC. However, the court again ruled that ICM and ICMC are separate organizations, and confirmed that the 52 acres of land belong to ICM.
In the Pallerlamudi ICM Church, the then Father Sri Sheelam Solomon Raju passed away on 21.05.2021. After his demise, the ICM organization collectively entrusted the management responsibilities of the church to his wife, Smt. Sheelam Manikyam.
However, Nakka John @ S.D. Raju, representing the ICMC organization, gathered some local supporters and began opposing Smt. Sheelam Manikyam’s leadership. He incited disputes by misleading people with claims that ICM and ICMC are the same organization.
As a result, conflicts broke out between the two factions. Two criminal cases were registered at the Nuzvid Rural Police Station:
Cr. No. 344/2023 under Sections 341, 324, 506 read with 34 IPC
Cr. No. 348/2023 under Sections 447, 427, 506, 323 read with 34 IPC
Both cases are currently under judicial consideration. To date, the issue remains unresolved, and disputes continue between the two factions.</t>
  </si>
  <si>
    <t>Both cases are currently under judicial consideration. To date, the issue remains unresolved, and disputes continue between the two factions.</t>
  </si>
  <si>
    <t>Now accused and complianant are leading their life without any quarel</t>
  </si>
  <si>
    <t>Both parties were counseled. Kept close watch over the both parties to prevent untoward incidents</t>
  </si>
  <si>
    <t>Nekkalam Gollagudem</t>
  </si>
  <si>
    <t xml:space="preserve">The following both groups are devotees are ICM Church at Nekkalam Golla Gudem Village. Later the "A" group persons trying to change the name i.e., ICMS instead of ICM, then the 'B" group persons objected about did not change the church name.
The "B" group persons are demolished the ICM church due to old building, then they trying to construct to new building of ICM church. Then the "A" group persons are objected them to not construct the Church.
Due to above reasons the both groups are gathered in ICM Church premisses and altercated against each other.
"A" Group: 1) Benziman, Nekkalamgolla Gudem Village, Pastor of Church and some other Villagers
"B" Group : 1) Nallamothu Elisha S/o Muthaiah, Nekkalam Golla Gudem Village,
2) Nallamothu Rambabu S/o Basavalah, Nekkalam Golla Gudem Village and Some others
</t>
  </si>
  <si>
    <t xml:space="preserve">* Counselling conducted to
both groups.
* Kept close watch over the
both Groups to prevent
untoward incidents.
* Present situation is
peaceful. 
</t>
  </si>
  <si>
    <t>At present situation is peaceful</t>
  </si>
  <si>
    <t>Edara</t>
  </si>
  <si>
    <t>There exists an ongoing political rivalry between Dondapati Venkateswara Rao @ Yesupadam, a leader of the Telugu Desam Party (TDP), and Samelu, a leader of the YSR Congress Party (YSRCP). In connection with this rivalry, a criminal case was registered at Agiripalli Police Station under Crime No. 375/2022, U/s 447, 506, and 290 R/w 34 IPC</t>
  </si>
  <si>
    <t>Both the persons were counceled and we kept the close watch over the persons.</t>
  </si>
  <si>
    <t>Chatrai PS</t>
  </si>
  <si>
    <t>Polavaram Village</t>
  </si>
  <si>
    <t xml:space="preserve">RIVALRY BETWEEN TWO FAMILIES:
There is strong rivalry between the Papana Vara Prasad S/o Anjineyulu family and Papana
Satyanarayana s/o Narasimha, family regarding land dispute. Both are brothers.
The following case have been reported.
1) Cr No 65/2015 U/s 447, 452, 302. 307, 326, 324 r/w 34 IPC (PT)
2)Cr. No. 285/2020 U/s 447,384,506 r/w 34 IPC r/w 156(3) Cr.P.C (Charged)
3) Cr.No 233/2021 U/s 448,324,506 R/w 34 IPC (Charged) </t>
  </si>
  <si>
    <t xml:space="preserve">* Frequent bickerings are
taking place between both
family members.
* Counselling conducted to
both groups.
* Kept close watch over the
both parties to prevent
untoward incidents.
* Present situation is
peacful. 
</t>
  </si>
  <si>
    <t>kept a close watch on the movements of both parties</t>
  </si>
  <si>
    <t>Musunuru PS</t>
  </si>
  <si>
    <t>Ramanakkapeta Village</t>
  </si>
  <si>
    <t xml:space="preserve">RIVALRY BETWEEN TWO FAMILIES:
There is strong rivalry between the Uppe Srinivasa Rao family and Uppe Sivanaganjaneyulu family regarding land dispute. Both are brothers.
The following case have been reported.
1) 60/2024, u/s 324, 323 r/w 34IPC (PT)
2) 62/2024 u/s  324, 323 r/w 34IPC (UI)
3)113/2024, u/s 468,472 r/34 IPC(PT)
4)120/2024, 326,324,323,506,109 r/w 34 IPC(UI)
5)121/2024, 325,324,384,r/w 34 IPC (UI)
</t>
  </si>
  <si>
    <t>Pedapadu Village</t>
  </si>
  <si>
    <t>Issue: Serious political rivalry within YSRCP in the village.
 Root cause: Sarpanch elections – Donthamala Vara Prasad contested as a YSRCP rebel candidate against Jeevan Kumar.
 Akkineni Raja Sekhar, senior YSRCP leader, supported Jeevan Kumar.Though elections passed without incident, rivalries remain active between both factions.
 Groups Involved:
 Group of Akkineni Raja Sekhar (YSRCP leader) Supported Jeevan Kumar in Sarpanch elections. Associates include Ghanta Prasad and Garapati Bhaskara Rao @ Guddu Bhaskara Rao.
 Group of Donthamala Vara Prasad (YSRCP rebel faction): Contested independently against official YSRCP candidate.
 Political adversary of Akkineni Raja Sekhar.
 Linked with Appana Prasad, Mandal Convener.</t>
  </si>
  <si>
    <t>conducted peace meetings</t>
  </si>
  <si>
    <t>Yepuru Village</t>
  </si>
  <si>
    <t xml:space="preserve">Issue: Dispute over clay excavation in Yepuru village on 29.01.2022 and 02.02.2022.
Groups Involved: (2)
 YSRCP Group: Kota Krishnayya,,Songa Raju,,Thommandru Rama Krishna, Yalamarthi Issac,,Duddu Gopala Krishna,,Veeravarapu Jagan Mohan Rao, Mushtina Ravi Kumar
 TDP Group: Gutta Anil Chowdary,,Laveti Srinu,,Veeravarapu Jagan Mohan Rao
 Kasagani Rajendra Prasad,,Nerusu Rambabu,,Gudipudi Jayaraju,,Mushtina Ravi Kumar,Others
  Led to clashes and cross cases: Cr.No.69/2022 U/S 323, 341, 506, 509 r/w. 34 IPC &amp; Sec. 3(1)(r)(s), 3(2)(va) of SC ST(POA) Act 1989– Against TDP group under IPC &amp; SC/ST (POA) Act and Cr.No.73/2022U/S 341,323,324 r/w 34 IPC – Against YSRCP group under IPC.
 </t>
  </si>
  <si>
    <t>Registered the cases to both parties.</t>
  </si>
  <si>
    <t>Dharmajigudem PS</t>
  </si>
  <si>
    <t xml:space="preserve">Kalarayagudem </t>
  </si>
  <si>
    <t xml:space="preserve">(.Cr.No.263/2023 u/s 447, 324, 323, 506 r/w 34 IPCalter into 307 IPC  Cr.No.264/2023 u/s 447, 324, 323, 506 r/w 34 IPC   CR NO 230/2024 U/S 126(2) 109(1) R/W 3(5) BNS , CR NO 232/2024 U/S 118(1) ,115(10,351(2) R/W 3(5) BNS has registered in Dharmajigudem Police Station  </t>
  </si>
  <si>
    <t>S.I is instructed to keep close watch about the movements of  both  groups,  as  in  future there   is   every   chance   that their   rivalry   may   leads   to
any Law &amp; Order issue.</t>
  </si>
  <si>
    <t>Present peacefully</t>
  </si>
  <si>
    <t>Lakkavaram</t>
  </si>
  <si>
    <t>Chakradevarapalli, Lakkavaram     sealing lands</t>
  </si>
  <si>
    <t>Booked 107 Cr.Pc  against both parties to prevent L &amp; O issues.</t>
  </si>
  <si>
    <t>Chintalapudi</t>
  </si>
  <si>
    <t>Present no disputes arised in the village</t>
  </si>
  <si>
    <t>Pragadavaram</t>
  </si>
  <si>
    <t>Seethanagaram</t>
  </si>
  <si>
    <t>Polavaram</t>
  </si>
  <si>
    <t>Thanalakunta village of Vinjaram Panchayath</t>
  </si>
  <si>
    <t>SI stated that Booked 107 Cr.P.C and keep close watch about the movements of both groups, as in future there is every chance that their rivalry may leads to any Law &amp; Order issue.</t>
  </si>
  <si>
    <t>Cases Registed</t>
  </si>
  <si>
    <t>PT</t>
  </si>
  <si>
    <t>T.Narasapuram</t>
  </si>
  <si>
    <t>Epigunta</t>
  </si>
  <si>
    <t>LAND      DISPUTE      BETWEEN      ERICHERLA VEERAYYA AND GADDALA SRINU1.Geddala Srinu 2. Yerchirla Veerayya Both is Epigunta Villagers, in-between clashes raised for in RS No. RS No.500 in AC.2.00 Cents cases registered in T.Narasapuram police Station  1. 98/2011 u/s 506,341,323 r/w 34 IPC
2. 154/2014 u/s 447,341, 506 r/w 34 IPC ,
3. 53/2017 u/s 447,427 r/w 34 IPC
4. 179/2017 u/s 448,354(A)(B)(D) IPC
5. 208/2017 u/s 341,352 506 IPC
6. 182/2018 u/s 447,427,434 r/w 34 IPC
7. 248/2020 u/s 447,427,506 r/w 34 IPC
8. 352/2020 u/s 447,427,506 r/w 34 IPC
9. 418/2020 u/s 468 r/w 34 IPC ,
10. 423/2020 u/s 341,324,506 r/w 34 IPC ,  11. 250/2021 u/s 447,427,506 r/w 34 IPC
12. 447/2021 u/s 379 r/w 34 IPC
13. 76/2022 u/s 447,427 r/w 34 IPC Sec 3(1)(f)(g) sec
3(2)(Va) of SC ST
14. 53/2018 u/s 447,506, IPC Sec 3(2)(Va) of SC ST
15. 106/2014 u/s 354, 506 IPC
16.113/2016 u/s 324,323 IPC
17. 52/2018 u/s 353, 506 IPC
18. 249/2020  u/s 442,506 IPC
19. 230/2017 u/s 506 IPC</t>
  </si>
  <si>
    <t>Epigunta Village, T.Narasaprurm Mandal and both are bind over under Sec 107 Cr.PC and
SI T.Narasapuram to  keep close watch about the movements of both groups, as in future there is every chance that their rivalry may leads to any Law &amp; Order issue.</t>
  </si>
  <si>
    <t xml:space="preserve">SI stated that S.I is instructed to keep close watch   about   the movements of both groups, as in  future there is every chance that   their   rivalry   may leads   to   any   Law   &amp; Order issue. </t>
  </si>
  <si>
    <t>Issue pending at HIGH COURT also</t>
  </si>
  <si>
    <t>LAND DISPUTE :
The Land dispute raised in between  ST tribes and
land owner, Pulla Chiranjeevi in RS No.188/1 in Epigunta field, .Case is registered                            1)503/2021 u/s 447,353,341,506 r/w 34 IPC,2) Cr.No.149/2022 u/s 447,353,341,506 r/w 34 IPC</t>
  </si>
  <si>
    <t>SI stated that Booked 107 Cr.P.C on ST Tribes And SI T.Narasapuram to keep close watch about the movements of both groups, as in future there is every chance that their rivalry may leads to any Law &amp; Order issue.</t>
  </si>
  <si>
    <t>Gattugudem</t>
  </si>
  <si>
    <t xml:space="preserve">LAND DISPUTE :
The Land dispute raised in between  ST tribes in R.S. No.16 of Gattugudem Village, Cases  were registered                            1)334/2022 u/s 326,324 r/w 34 IPC,2) Cr.No.335/2022 u/s 326,324 r/w 34 IPC </t>
  </si>
  <si>
    <t>Allamcherla Kothatgudem</t>
  </si>
  <si>
    <t>CLASHES BETWEEN THE FOREST OFFICIALS AND THE LOCAL VILLAGERS The local villagers have been occupying the forest land and forming this land Since then 2014 dispute clashes between the forest officials and the local  villagers previously case registered in  T.Narasapuram Police Station as 1) Cr.No.109 u/s 447,427,307,506 r/w 149 IPC ,2) 110/2014 u/s  447,427,307,506 r/w 149 IPC ,3)111/2014 u/s 447,427,307,506 r/w 149 IPC,4)112/2022 u/s 447,427 r/w 34 IPC Sec 3(i)(x) POA SC,ST ACT,5) 113/2014 u/s 447,427 506 r/w 34 IPC,6) 114/20214 u/s 447,427 r/w 34 IPC,7) 211/2016 u/s 143,447,427 r/w 149 IPC and PD PP ACT,8)213/2016 u/s 143,447,427 r/w 149 IPC,9) 163/2018 u/s 143,447,427, 188,353 r/w 34 IPC Sec 20(1)(a)(b)Sec 20 (i)(c)(II)(III) AP forest Act 1967 &amp; Sec 3 PD PP Act,40. Cr.No.72/2023 U/S 143,353,427,506 R/W 149 IPC,41. Cr.No.74/2023 U/S 353, 506 R/W 34 IPC,38. Cr.No.60/2023 U/S 447,427, 353 r/w 34 IPC</t>
  </si>
  <si>
    <t>SI stated that Rowdy sheets opened in two persons 1.Nalluri Satyanarayan and Gurrala Krishna Rao S.I is instructed to keep close watch about the movements of both groups, as in future there is every chance that their rivalry may leads to any Law &amp; Order issue.
Action taken on local</t>
  </si>
  <si>
    <t>Velairpad</t>
  </si>
  <si>
    <t>Velairpad village</t>
  </si>
  <si>
    <t>YSRCP  PARTY  MEMBERS  &amp; JANASENA PARTY  MEMBERS:
1.Komarraju Ram Babu, (Y.S.R.C.P. MPTC), 2.Ganesula Adhinarayana-(Janasena Mandal President).</t>
  </si>
  <si>
    <t>Registered Criminal cases to  Both parties * Kept close watch over the both parties to prevent untoward incidents</t>
  </si>
  <si>
    <t>Jeelugumilli</t>
  </si>
  <si>
    <t>P.Narayanapuram village</t>
  </si>
  <si>
    <t>LAND DISPUTE:
Medipalli Mutyam S/o Appayya, A/46 Yrs, VRO P.Ankampalem Village, Jeelugumilli Mandal
VS
A-1)   Karam  Satish  S/o  Gangaraju,  and  28  others  of P.Narayanapuram Village.
B-party Peoples are criminally trespassed in to P.Narayanapuram Village R.S.No.170 of Government land and cut and stolen away the Palm Oil bunches of 1
½  tonnes and escaped from there. Total 3 ½ Tonnes worth 59,500/-.</t>
  </si>
  <si>
    <t>CR.NO.462/2021        U/S 143,447,379       R/W    149 I.P.C.</t>
  </si>
  <si>
    <t>Cherged On 09.09.2021</t>
  </si>
  <si>
    <t>PT vide CC.No.377/2023 Dated.31.03.2023</t>
  </si>
  <si>
    <t>Buttaigudem</t>
  </si>
  <si>
    <t>Padmavarigudem</t>
  </si>
  <si>
    <t>Nimmu Raghu Rambabu S/o Sri hari rao, A/ 59 Years, C/Perika, Ramannagudem village Buttaigudem Mandal and 5 others
Vs
Bethi Kishore,  S/o  Naga  Raju,  28  years,  Mala,  R/o.
Nandapuram (V), Buttaigudem (M), N/o. Sagipadu (V), Kamavarapukota (M) and 5 others.
Land Disputes between Traibe and Non-Traibe</t>
  </si>
  <si>
    <t>Registered cased and bindover the both parties before Mandal excutice Magistrate, Buttaigudem PS</t>
  </si>
  <si>
    <t>Present Peace Full</t>
  </si>
  <si>
    <t>Marlagudem</t>
  </si>
  <si>
    <t>Forest, Department Vs.
A1. Madakam Sarada, W/o Srinu (Late), 38yrs, C/Koya, Busarajuapalli village of Buttaigudem Mandal
Forest Land Dispute between Forest, Department and Busarajupalli village Traibes</t>
  </si>
  <si>
    <t>Registered cased and Counsilling to Both parties</t>
  </si>
  <si>
    <t>Registered cases and Counsilling to Both parties</t>
  </si>
  <si>
    <t>Bandamcherla</t>
  </si>
  <si>
    <t>SI T.Narasapuram to keep close watch about the movements of both groups, as in future there is every chance that their rivalry may leads to any Law &amp; Order issue.</t>
  </si>
  <si>
    <t>No Issue</t>
  </si>
  <si>
    <t>Makkinavarigudem</t>
  </si>
  <si>
    <t>T.Narasapura m</t>
  </si>
  <si>
    <t>Velagapadu</t>
  </si>
  <si>
    <t>LND Peta</t>
  </si>
  <si>
    <t>NIL</t>
  </si>
  <si>
    <t>Koyyalagudem</t>
  </si>
  <si>
    <t>Vankabothappagudem</t>
  </si>
  <si>
    <t>Registered FIR's
1) 287/2023 U/S 109, 447,506  r/w 34 IPC and it is PT
2) 297/2023 U/S 109, 447,506  r/w 34 IPC  and it is PT
3) 301/2023 U/S 109, 447,506  r/w 34 IPC  and it is PT
4) 304/2023 U/S 109, 447,506  r/w 34 IPC  and it is PT
5) 310/2023 U/S 109, 447,506  r/w 34 IPC  and it is PT
6) 263/2024 U/s 189(2), 329(3), 324(4), 351(2) BNS r/w 190 BNS and it is UI for some more witnesses are to be examined</t>
  </si>
  <si>
    <t>Katkuru village</t>
  </si>
  <si>
    <t>SIVALAYAM HUNDI ISSUE :
YSRCP MPP &amp; Village Elders
Vs.
Nagothu Balaswamy S/O Chinayya,C/Chowdary,
A/58 years Katkuru village, Velairpad Mandal (Umaramalingeswara swamy temple Trust)</t>
  </si>
  <si>
    <t>Peaceful</t>
  </si>
  <si>
    <t xml:space="preserve">Kukkunoor </t>
  </si>
  <si>
    <t>Dacharam</t>
  </si>
  <si>
    <t xml:space="preserve">Political party issues between YCP- TDP Leaders   Madura Venkata Ramana-Amaravarapu Srinivasa rao </t>
  </si>
  <si>
    <t>Yes</t>
  </si>
  <si>
    <t>Bind over the two partys and produced before MEM COURT; Kukkunoor Mandal</t>
  </si>
  <si>
    <t>L&amp; O Sitution is peaceful</t>
  </si>
  <si>
    <t>Maredubaka</t>
  </si>
  <si>
    <t xml:space="preserve">Political party issues between YCP- TDP Leaders   Rayi Ravindra- Muppalla Sivayya Srinivasa rao </t>
  </si>
  <si>
    <t>Issue: Dasari Baburao, son of Rama Rao, aged about 66 years, belonging to the Kamma community (Contact: 966045677), and his wife, Nagalakshmi, are residents of Challa Chintalapudi village, Denduluru mandal. They own 9.57 cents of land in the same village. Baburao has been residing in Vijayawada for about a year and is engaged in business in Hyderabad. In September 2024, Naganaboya Satyanarayana, a resident of the same village, and Mummadi Mohan Rao, a former sarpanch, entered into an agreement with Baburao for mining operations on his land for ₹1.31 crore. As part of this agreement, Satyanarayana and Mohan Rao committed to obtaining all necessary mining permits. The agreement specified that they would excavate 7 feet deep in 3 acres on the eastern side and 8 feet deep in the remaining Issue. Land and mining dispute over 9.57 cents owned by Dasari Baburao in Challa Chintalapudi village. Agreement made with Naganaboya Satyanarayana and Mummadi Mohan Rao for mining at ₹1.31 crore, but balance amount not paid. Unauthorized excavation by Kusuluru Satyanarayana (Bose) led to confrontation and tension. Allegations of excavation beyond agreed limits; Baburao raised complaints to Mining Department and Collector. Conflict escalated when Baburao and his wife blocked lorries, while agreement holders and Bose continued activities.
 Possibility of further clashes between 
 A-Party -Dasaribabu Rao Baburao and 
 B-Party Kusuluru Satyanarayana (Bose)</t>
  </si>
  <si>
    <t>Issue:The aquaculture ryots of Kolleru area representing around 230 Acres of Kolleru fish ponds have bene observing a dharna near the house of the petitioner Sri Kotharu Ramachandra Rao at Kondalaraopalem alleging that the latter and his son Ex. MLA Kotharu Abbayya Chowdary hoodwinked them to the tune of Rs.9.00 crore, having taken the tanks for lease and did not pay Rs.80.00 thousand agreed lease per acre per annum since 2019. The Ex.MLA also has been evading his appearance before the villagers since he lost the election. In this regard, Sriparru, Komatilanka and their surronding villagers are lay seized the house of the Ex MLA house at Kondalaraopalem village and organized the Vanta Varpu programme by demanding payment of pending lease amounts.. 
 A-Party:  Ryots of Kollerulake bedded villages in Eluru Rural Mandal (Headed byt he local TDP Leaders)
  B-Party: Kotharu Abbayya Chowdary, Ex. MLA, Denduuru Assembly Constituency, R/O Rayannapalem Village, Pedavegi Mandal (YSRCP)
  In connection with the following issue, the following case were reported: 
 1) Cr.No.212/2025 U/Sec.223,132 r/w 3(5) BNS of Pedavegi PS (Aaginst YSRCP Activists)
 2) Cr.No.213/2025 U/Sec.223,132 r/w 3(5) BNS of Pedavegi PS (Against TDP)</t>
  </si>
  <si>
    <t xml:space="preserve">LAND DISPUTE BETWEEN : Complainant-Kechela Bhimareddy, S/O Chinnareddy, 30 yrs, C/Konda reddy, Thanalakunta village of Vinjaram panchayath, Polavaram  mandal reported that the accused/Pothinti Venkata Reddy, S/Rama krishna reddy and 08 members entered into land criminally and casued damage to the crop and threatned with direc consequence. on that case was registred as Cr.No. 134/2024 u/s 329(3), 118(1), 115(2), 351(2), R/W 3(5) BNS of Polavaram PS. case was investigated, filed charge sheet and obtained CC.NO. 99/2025, Dt.28.02.2025.Hence case is PT. The Tahasildar, Polavaram and officials rushed to above scene of offence and warned the both parties. Hence I have filed information in the Hon’ble court of Mandal Executive Magistrate, Polavaram with a request to issue Summons for
having good behaviour. </t>
  </si>
  <si>
    <t>BETWEEN TDP &amp; YSRCP WITH REGARD TO ABUSIVE SOCIAL MEDIA POSTINGS:
 Social media postings by TDP followers and YSRCP followers creating tension in the town whenever they mutually posted the postings criticizing their activities. Thatti Atchyuth and Gajula Rajesh, Manchodu Mani of TDP and Varaprasad @ Vara of Nuzvid Town are posting abusive messages in social media.</t>
  </si>
  <si>
    <t>LAND DISPUTE:
RS   No.62.5   of   Bandamcherla   Village,T.Narasapuram Mandal , both parties frequently conflicted said land and cases   registered   on   both   in      T.Narasapuram   Police
Station Cr.No’s .228/2017,148/2021</t>
  </si>
  <si>
    <t>LAND DISPUTE:
Kommaraju Vasu and in-between family members raised land dispute frequently in RS No. 469/1 at situated at Makkinavarigudem Village field</t>
  </si>
  <si>
    <t>LAND DISPUTE :
The village frequently occurred petty disputes in between  Sc &amp; BC Community Cause of   strong political involvement</t>
  </si>
  <si>
    <t>SI T.Narasapuram to keep close watch about the movements of both groups, as in future there is every chance that their
rivalry may leads to any</t>
  </si>
  <si>
    <r>
      <rPr>
        <b/>
        <sz val="12"/>
        <color theme="1"/>
        <rFont val="Bookman Old Style"/>
        <family val="1"/>
      </rPr>
      <t xml:space="preserve">Subject: Internal Political Conflict in Gunaparru – Potential Law and Order Issue
</t>
    </r>
    <r>
      <rPr>
        <sz val="12"/>
        <color theme="1"/>
        <rFont val="Bookman Old Style"/>
        <family val="1"/>
      </rPr>
      <t xml:space="preserve">
In Gunaparru village, the Sarpanch Bujji and Alla Ramanujaneyulu, both affiliated with the Jana Sena Party, have been involved in internal political disputes over the past few days. These conflicts appear to be escalating and may lead to disturbances in peace and public order in the near future.
Additionally, Alla Ramanujaneyulu’s father, Raja Rao, has prior criminal cases registered against him:
Cr. No. 53/2021 – under Sections 171-C, 171-G, 323, 34, 353, 427, 447 of the Indian Penal Code (IPC) (PT)
Cr. No. 70/2023 – under Section 332 IPC(PT)
</t>
    </r>
    <r>
      <rPr>
        <b/>
        <sz val="12"/>
        <color theme="1"/>
        <rFont val="Bookman Old Style"/>
        <family val="1"/>
      </rPr>
      <t>(Special Branch information)</t>
    </r>
  </si>
  <si>
    <r>
      <rPr>
        <b/>
        <sz val="12"/>
        <color theme="1"/>
        <rFont val="Bookman Old Style"/>
        <family val="1"/>
      </rPr>
      <t xml:space="preserve">FAMILY DISPUTES:
</t>
    </r>
    <r>
      <rPr>
        <sz val="12"/>
        <color theme="1"/>
        <rFont val="Bookman Old Style"/>
        <family val="1"/>
      </rPr>
      <t>Both    parties   are    family   members.    So   many   cases registered  in  Lakkavaram  PS  police  Station  with  same
disputes.</t>
    </r>
  </si>
  <si>
    <r>
      <t xml:space="preserve">boundary dispte : Viswanadhapalli Jayamma, W/o Thomes,  45 Years, Ankammagattu, Prakash  Nagar colony, Pragadavaram village, Chintalapudi Mandal and Kommu Anuja W/o Sandeesh Babu, A/22, C/SC-Madiga, Prakash Nagar Pragadavaram Village, Chintalapudi Mandal both family members disputed </t>
    </r>
    <r>
      <rPr>
        <b/>
        <sz val="12"/>
        <color theme="1"/>
        <rFont val="Bookman Old Style"/>
        <family val="1"/>
      </rPr>
      <t xml:space="preserve">
</t>
    </r>
  </si>
  <si>
    <r>
      <rPr>
        <b/>
        <sz val="12"/>
        <color theme="1"/>
        <rFont val="Bookman Old Style"/>
        <family val="1"/>
      </rPr>
      <t>LAND DISPUTE:</t>
    </r>
    <r>
      <rPr>
        <sz val="12"/>
        <color theme="1"/>
        <rFont val="Bookman Old Style"/>
        <family val="1"/>
      </rPr>
      <t xml:space="preserve">
1.Podili Krishna S/o Tirupathi , A/60, C/SC-Madiga, Pragadavaram Village, Chintalapudi Mandal and associates,   while going  conflict for field in n R.S. No.1124/1, 1124/10 total measuring of Ac.2-23 cents of Pragadavaram village said land, 1) Cr.No.380/2022 u/s 341,323,506,427,420 r/w 34 IPC, 2.Cr.No.381/2022 u/s 341, 324,323 R/W 34 IPC, 3. Cr.No.388/2022 u/s 447,427,506 r/w 34 IPCcases  registered in this disputes in Chintalapudi PS.</t>
    </r>
  </si>
  <si>
    <r>
      <rPr>
        <b/>
        <sz val="12"/>
        <color theme="1"/>
        <rFont val="Bookman Old Style"/>
        <family val="1"/>
      </rPr>
      <t>LAND DISPUTE:</t>
    </r>
    <r>
      <rPr>
        <sz val="12"/>
        <color theme="1"/>
        <rFont val="Bookman Old Style"/>
        <family val="1"/>
      </rPr>
      <t xml:space="preserve">
1. Aluru Nani S/o Yesu A/35,C/Mala, Seethanagaram Village, Chintalapudi mandal and associates,   while going  conflict for field in n R.S. No.1124/1, 1124/10 total measuring of Ac.2-23 cents of Pragadavaram village said land, 1) 346/2022 U/Sec. 452,354,506 R/W 34 IPC , 2.Cr.No.345/2022, U/Sec. 447,379,324,323 R/W 34 I.P.C.  cases  registered in this disputes in Chintalapudi PS.</t>
    </r>
  </si>
  <si>
    <r>
      <t xml:space="preserve">Polnati Venkata Subbarao Vs.
A1-Madakam Venkateswararao, Kotha Marlagudem village of Buttaigudem Mandal and some others
</t>
    </r>
    <r>
      <rPr>
        <b/>
        <sz val="12"/>
        <color theme="1"/>
        <rFont val="Bookman Old Style"/>
        <family val="1"/>
      </rPr>
      <t>Land Dispute between Non-Tribe and  Kotha Marlagudem Tribes</t>
    </r>
  </si>
  <si>
    <t xml:space="preserve">Rowdy sheets opened </t>
  </si>
  <si>
    <t>S.I is instructed to keep close watch about the movements of both groups, as in future there is every chance that their rivalry may leads to any Law &amp; Order issue.
 Both parties are belongs to same community.</t>
  </si>
  <si>
    <t>POLITICAL ISSUES
(TDP, YSRCP, JSP, etc)</t>
  </si>
  <si>
    <t>Issue: Alleged financial irregularities of about ₹51 lakhs in the Cooperative Society, Pothunur (2013–2019), during the tenure of DNV Prasad @ Bajji Anunathanu as President. Prasad, initially TDP Mandal President, later shifted to YSRCP.
  District Cooperative Officer’s inquiry confirmed misappropriation and submitted report to the District Collector, Eluru.
 On 14.09.2023, Collector accorded permission for prosecution against the society’s President, Secretary, and staff.
 On 17.11.2024, DCO forwarded report to Denduluru PS for criminal action
  Groups Involved
 DNV Prasad @ Bajji Anunathanu &amp; Followers -Presently in YSRCP, defending allegations.
 Facing hostility from opposition villagers.
 Opposing Group / Objectors: Villagers supporting the Cooperative Society inquiry outcome.
 Backed by District Cooperative Officer and administration.
 Law &amp; Order Concern
 Given political rivalry (TDP vs YSRCP) and financial allegations, there is a possibility of clashes in Pothunur village.
 Situation requires close watch, especially during public gatherings, political meetings, or cooperative society activities</t>
  </si>
  <si>
    <t>COMMUNAL ISSUES
(Hindu, Muslim &amp; Christian)</t>
  </si>
  <si>
    <t>GENERAL ISSUES
(Other than Caste conflicts, Political and Communal issues)</t>
  </si>
  <si>
    <t>S.NO</t>
  </si>
  <si>
    <t>NAME OF THE PS</t>
  </si>
  <si>
    <t>Caste Conflicts</t>
  </si>
  <si>
    <t>Political Issues</t>
  </si>
  <si>
    <t>Communal Issues</t>
  </si>
  <si>
    <t>General Issues</t>
  </si>
  <si>
    <t>Total</t>
  </si>
  <si>
    <t>TOTAL</t>
  </si>
  <si>
    <t>Eluru Sub-Division</t>
  </si>
  <si>
    <t>Eluru I Town</t>
  </si>
  <si>
    <t>Eluru II Town</t>
  </si>
  <si>
    <t>Eluru III Town</t>
  </si>
  <si>
    <t>Kaikaluru Town</t>
  </si>
  <si>
    <t>Nuzvidu Sub-Division</t>
  </si>
  <si>
    <t>Musunuru</t>
  </si>
  <si>
    <t>Chatrai</t>
  </si>
  <si>
    <t>Agiripalli</t>
  </si>
  <si>
    <t>J.R Gudem Sub-Division</t>
  </si>
  <si>
    <t>J.R Gudem</t>
  </si>
  <si>
    <t>Tadikalapudi</t>
  </si>
  <si>
    <t>Darmajigudem</t>
  </si>
  <si>
    <t>Polavaram Sub-Division</t>
  </si>
  <si>
    <t>Kuknoor</t>
  </si>
  <si>
    <t>Velerupadu</t>
  </si>
  <si>
    <t>GRAND TOTAL</t>
  </si>
  <si>
    <t>Denduluru, Near NTR Statue</t>
  </si>
  <si>
    <t>Inumuru</t>
  </si>
  <si>
    <t>Registered case and Counsilling to Both parties</t>
  </si>
  <si>
    <t>Karedlagudem</t>
  </si>
  <si>
    <t>Issue
 Dispute over Government Ceiling Land (Ac.29.00 in R.S.No.414/5b3) at Gudipadu Village, Pedapadu Mandal.
 Groups Involved: (2)
 Moru Ramaraju &amp; Associates (YSRCP)
 Involved in Cr.No.239/2022 ,248/2025 U/Sec.196,352,353(2) BNS (Pedapadu PS).
 Moru Dasaradha MahaRaju @ Dasaradha Ramayya &amp; Associates(TDP)
 Involved in Cr.No.238/2022 (Pedapadu PS).
 Key members include Maddala Nagaraju (SC Colony) and others.
 Boundary dispute between two rival parties on 05.07.2022 at 02:00 PM led to clashes and registration of cross cases (Cr.No.238/2022 &amp; Cr.No.239/2022).</t>
  </si>
  <si>
    <t>Dosapadu village</t>
  </si>
  <si>
    <t xml:space="preserve">Clash between YADAVAs &amp; CHRISTIAN communities in DOSAPADU VILLAGE
The Yadava community people are celebrating Srikrishna Janmashtami festivity on every year at Dosapadu (v) center, where NTR statue and Mery matha statue are located. On 02.10.2025, the Yadava communities are proposed to lay inauguration stone for erection of Sri Krishna Statue at that center, But, the SCs objection raised for the same and In close proximity, the Group A members are planning to install a statue of Dr. B. R. Ambedkar. Due to the sensitive nature of the issue and proximity of both sites, the matter has created communal tension in the village and is likely to result in clashes between the two groups, disturbing public peace and tranquillity. On interference of elders/peace commitees,  there was erection of Hanuman statue was made by the Yadava communities recently in the vacant government site adjacent to the Cheruvu.  
</t>
  </si>
  <si>
    <t xml:space="preserve">FISH TANKS DISPUTES BETWEEN VILLAGE SC GROUPS
Chettunnapadu village groups 73 acres of fish tanks issue and in 2012, facilitated  issuance of land deeds (pattas) to 143 @100 members from Ratnakar Rao's group and 43 from Lalitha's group receiving pattas. However, the distribution of lease money remained unresolved, prompting Lalitha’s group to approach the leaseholders directly in 2012. When the leaseholders refused to pay the Lalitha group, legal complaints were filed.But disputes had been brewed for some time between two SC groups in Kolleru area Chettunapadu (V) over sharing of revenue being generated from field labour society fish tanks.Tensions escalated on July 4, 2013, when Lalitha group member Bunga Jairaju attempted to cultivate land, only to be obstructed by Ratnakar Rao group leaders, resulting in a clash and a police case, leads  cases 1)Cr. No. 246/2013 U/s 147, 148, 307, 302 R/W 149 IPC  on 19-11-2013 and counter case in Cr. No. 247/2013 U/s 341, 307 R/W 34 IPC </t>
  </si>
  <si>
    <t>all the involved accused were arrested. As the cases comes to trail sessions, necessary precautionary measures are being continued to prevent untoward incidents. Peace committee meetings arranged and made awareness on legal provisions</t>
  </si>
  <si>
    <t>History sheets were opened against both groups and keeping close watch against them</t>
  </si>
  <si>
    <t>Present situatin is peaceful.There is sudden provocation arising during the yield of fish tanks.</t>
  </si>
  <si>
    <t>Eluru I town</t>
  </si>
  <si>
    <t>11th Division</t>
  </si>
  <si>
    <t xml:space="preserve">KOYA RANGA SATTIBABU,11TH DIVISION CORPORATOR (SHIFTED FROM YCP TO JS) VS CHODE BALU, 11TH WARD TDP INCHARGE &amp; GANGANAMMA JATHARA COMMITTEE WESTERN STREET  PRESIDENT:
On 02.10.2025, in view of Dasara festivity at Lakshmiganapathi temple, Southern street, the organizer Abbina Rangamutyalu, Tkapu invited the Chode Balu as he is donar to temple, additionally he also invited one 11th ward corporator Koya Ranga Sattibabu, (shifted from YCP to JS). In this regard, balu disastisfied on giving priority to Sattibabu, heated discussions arosed between two groups. On 03.10.2025, Rangababu gathered women folk and developed false creations against Balu towards dishonoured the temple and hindu devotees, resulted rivalry formed between grouups. In this connection, Southern street people agressive against Balu and leads formation of new committee for Ganganamma Jatara in Eluru Town. </t>
  </si>
  <si>
    <t>Both parties were counseled and they both compramised before political and caste elders. Kept close watch over the both parties to prevent untoward incidents</t>
  </si>
  <si>
    <t>Even though, presently no issues but there is likely chance to happening of political heat between them.</t>
  </si>
  <si>
    <t xml:space="preserve">Kaikaluru Town </t>
  </si>
  <si>
    <t xml:space="preserve">Atapaka </t>
  </si>
  <si>
    <t>POLITICAL RIVALRY BETWEEN YSRCP AND TDP:
 A-Party:  Kanna Raghavendra Rao, Kanna Ramesh , Kanna Rambabu, Singamsetti Ramu, Kanna Siva Ramayya , Kanna Srinivasa Rao  YSRCP 
 B-Party: Velpuri Chandra Rao,  Bhavisetti Nagendra  and some others TDP Activicts
 Issue: There is a strong political rivalry in between YSRCP and TDP of Atapaka Village , and some others TDP Activicts recently clashes aroused in between both groups and registered the following cases have been reported 
 1. 22/2018  u/s  323,34-IPC
2. 122/2022 u/s  324 r/w 34 IPC
3. 123/2022  u/s  324,506 r/w 34 IPC</t>
  </si>
  <si>
    <t>Thimmapuram</t>
  </si>
  <si>
    <t>There are two groups belonging to the Telugu Desam Party in the village. One group is led by Polina Srinivasarao, and this group has the support of the present Hon'ble MLA. Sri Maddipati Venkata Raju. The second group is led by Thumpati Padma Varaprasad, and this group has the support of Ex.ZP Chairman Sri. Mullapudi Babu Raju. Due to political reasons, frequent clashes occur between these two groups in the village.</t>
  </si>
  <si>
    <t>The     two    groups     are followers in the same political party. Now         the situation is peaceful.     However,  the
S.I  is instructed  to  made counselling          between them   if   necessary   and keep close watch against their  movement  to  avert any untoward incidents.</t>
  </si>
  <si>
    <t>TWO GROUPS IN YSRCP:
Padamata   Seshavataram,  50 years,  C/ Gowda, Alapadu village. (Y.S.R.C.P.)
Koppula  
Koppula     Yedukondalu     husband     of     Koppula Krishna   Kumari   (Sarpanch)and present TDP   his   active   associates   are Worked against Local Former MLA and creating clashes in village. The following cases were registered against them to that effect.
1) 172/21   u/s   447,   427   r/w   34   IPC,  
2) 173/2021   u/s   153(A),   504   r/w   34   IPC  
3) 76/2022  508  IPC  and  Sec.3(v)(i)  of  SC  ST  Act  of Kaikaluru PS.</t>
  </si>
  <si>
    <t xml:space="preserve">Paidichintapadu (V), Eluru (M) </t>
  </si>
  <si>
    <t>Pension  ISSUES IN TDP, JANASENA AND YSRCP:
Saidu Nagaraju, TDP Local leader And
Mungara Timothi, JANASENA  activist and President of Paidachintalapudi. ( Ref:, 1.Cr No 283/2024 U/s 115(2), 118(1), 351(3) r/w 3(5) BNS, 2.288/2024 U/s 126(2), 115(2) r/w 3(5) BNS )</t>
  </si>
  <si>
    <t>Chataparru</t>
  </si>
  <si>
    <t>FLEXI  ISSUES BETWEEN TDP AND YSRCP GROUPS:
Nethala Ravi, TDP activist And
Gudipudi Raghu, YSRCP activist and President of Chataparru Village (Ref Cr No 124/2023 U/s 324, 323, 427, 506 r/w 34 IPC )</t>
  </si>
  <si>
    <t>Mandavalli PS</t>
  </si>
  <si>
    <t>Mandavalli Village</t>
  </si>
  <si>
    <t>Nidmarru Ps</t>
  </si>
  <si>
    <t>Tokalapalli, Bayynepalli, Pedanindrakolanu,</t>
  </si>
  <si>
    <t xml:space="preserve">The residents of Tokalapalli, Bayynepalli, Pedanindrakolanu, and other villages of Nidamarru Mandal occasionally attempting to cultivate government land falling within Agadalalanka limits (about 1680 acres), and they are being prevented as per rules under Kolleru contoor levels/Kolleru sanctury. The villagers are claiming possession of D-Form pattas, but no such patta documents have been shown to the police or Forest Department.
In view of the recent directions of the Hon’ble Supreme Court in PIL No. 22/2024, the implementation of G.O.Ms.No.120 is being strictly enforced across Agadalalanka and the entire Kolleru Wildlife Sanctuary area by the Forest officials. 
While on undergoing for implementation by the forest officials, there is rising of L&amp;O situations between Govt. officials and land occupants. 
</t>
  </si>
  <si>
    <t>Even though the situation is peaceful, there is likely chance to happening of notable issues while on yield of the fish tanks</t>
  </si>
  <si>
    <t>Peace committee meetings arranged between both groups</t>
  </si>
  <si>
    <t>Pulla PS</t>
  </si>
  <si>
    <t>The accused in both cases were arrested and sent them for reamnd</t>
  </si>
  <si>
    <t xml:space="preserve">Presently, the two groups i.e. A1 (murder case) and Deceased group having rivalry in the village and likely chance to happening of untoward incidents.  </t>
  </si>
  <si>
    <t>Manuguluru Village</t>
  </si>
  <si>
    <t>S.Kondepadu village</t>
  </si>
  <si>
    <t>A close watch and surveilance are kept against both parties</t>
  </si>
  <si>
    <t>SI of Police, Ganapavaram P.S., visited S. Kondepadu village, conducted a coordination meeting, and counselled both parties. A close watch and surveillance is being maintained over their movements to prevent any untoward incidents, and all necessary precautions have been taken to maintain peace and order.</t>
  </si>
  <si>
    <t xml:space="preserve">Present situation Peaceful </t>
  </si>
  <si>
    <t>Chettunnapadu villa</t>
  </si>
  <si>
    <t xml:space="preserve">DISPUTES BETWEEN SC COMMUNITY WITH REGARD TO FISH PONDS:
In Chettunnapadu village, a 73-acre fish pond belonging to the SC community has, from earlier times, been leased out to contractors, and the lease amounts were shared among all the villagers. For this purpose, the villagers formed a committee, through which the leases were collected and the lease money was distributed among the villagers. About 13 years ago, disputes arose between the committee members and the villagers regarding the distribution of the lease amounts. As a result of clashes between the two groups, three persons lost their lives, and cases were registered against members of both groups. Since then, the families of the deceased, the committee elders, and the villagers have remained divided into two rival groups and have continued to quarrel over the leasing of the fish ponds. As the issue has not been resolved till date, there is a possibility of further disputes and clashes arising again in connection with the leasing of the ponds. </t>
  </si>
  <si>
    <t>In view of grudges SI, BMDL PS registered cases against both parties vide 1.Cr.No.155/2025 U/s 115(2), 351(2) R/w 3(5) BNS, 2.Cr.No.156/2025 U/s 115(2), 351(2) R/w 3(5) BNS.</t>
  </si>
  <si>
    <t>Present situation is not  peaceful in the village and close watch the movement of the both groups. Inspector of Police, Bhimadole Circle and SHO Bhimadole PS are conducted counselling both parties to prevenst an untoward incidents.</t>
  </si>
  <si>
    <t>In view of grudges SI, BMDL PS registered cases against both parties vide 1.Cr.No.155/2025 U/s 115(2), 351(2) R/w 3(5) BNS, 2.Cr.No.156/2025 U/s 115(2), 351(2) R/w 3(5) BNS.
Police picket is going on to prevent incidents.</t>
  </si>
  <si>
    <t>History sheets opening proposals are being conducted against the accused in Murder case
Police picket is going on to prevent incidents.</t>
  </si>
  <si>
    <r>
      <t xml:space="preserve">BOTH PARTIES DISPUTED REGARDING TO SRI.VANGAVEETI . MOHANA RANGA IDOL ISSUE
A dispute arose between two groups regarding the installation of the statue of Sri Vangaveeti Mohana Ranga at S. Kondepadu village of Ganapavaram Mandal. The said idol was installed near the Vinayaka Temple adjacent to the Padmalaya water tank. A-Party, represented by Seethyala Pullayya Nayudu, and B-Party, represented by Seethalam Bulli Veeranna, were both interested in the installation of the statue. However, without informing or consulting the B-Party, Seethalam Bulli Veeranna, along with his associates, unexpectedly installed the statue, which led to an objection and dispute raised by A-Party members. 
                                                               </t>
    </r>
    <r>
      <rPr>
        <b/>
        <sz val="11"/>
        <color theme="1"/>
        <rFont val="Bookman Old Style"/>
        <family val="1"/>
      </rPr>
      <t xml:space="preserve">     A-Party</t>
    </r>
    <r>
      <rPr>
        <sz val="11"/>
        <color theme="1"/>
        <rFont val="Bookman Old Style"/>
        <family val="1"/>
      </rPr>
      <t xml:space="preserve">
1) Maddala Naga Sai S/o Venkateswara Rao, A/30, C/Kapu, S.Kondepadu village of Ganapavarm mandal . Ph: 94946247154
2) Peddapudi Manikanta vasu S/o Koteswara Rao, A/32, C/Kapu, S.Kondepadu village of Ganapavarm mandal . Ph: 7013446834
3) Sanku Manikanta Prasad S/o Bagari, A/31, C/Kapu, S.Kondepadu village of Ganapavarm mandal . Ph: 9346772160
4) Gangumolu Suryanarayana S/o Subba Rao, A/32, C/Kapu, S.Kondepadu village of Ganapavarm mandal . Ph: 7093042926
5) Sanku Siva Mahesh S/o Nageswara Rao, A/35, C/Kapu, S.Kondepadu village of Ganapavarm mandal . Ph: 9100437744
                                                                       </t>
    </r>
    <r>
      <rPr>
        <b/>
        <sz val="11"/>
        <color theme="1"/>
        <rFont val="Bookman Old Style"/>
        <family val="1"/>
      </rPr>
      <t xml:space="preserve">    B-Party</t>
    </r>
    <r>
      <rPr>
        <sz val="11"/>
        <color theme="1"/>
        <rFont val="Bookman Old Style"/>
        <family val="1"/>
      </rPr>
      <t xml:space="preserve">
1)  Seetalam Pullayya Naidu S/o Peddi Raju, A/53, C/Kapu, S.Kondepadu village of Ganapavaram mandal. Ph: 8142696138
2) Bade Kondababu S/o Kondayya, A/28, /Kapu, S.Kondepadu village of Ganapavaram mandal. Ph: 9542377324
3) Maddala Venkateswara Rao S/o Suryanarayana, A/45, /Kapu, S.Kondepadu village of Ganapavaram mandal. Ph: 9440792453
4) Konisetti Naresh S/o Srinivas, A/30, /Kapu, S.Kondepadu village of Ganapavaram mandal. Ph: 9959225899
5) Thota Sai S/o Venkata Ramayya, A/28, /Kapu, S.Kondepadu village of Ganapavaram mandal. Ph: 9581690839</t>
    </r>
  </si>
  <si>
    <r>
      <t xml:space="preserve">‘A’ Party:
Yandrapragada Satyanarayana S/o Dharmaraju, Doramamidi Village, Buttaigudem Mandal  
‘B’ Party:
A-1) Tellam Ramakrishna, the following persons from Inumuru village A-2) Karam Muthyala Rao, A-3) Bommireddy Srinivasa Rao, A-4) Kodimi Pedda Lakshmudu, A-5) Tellam Balaji, A-6) Charla George Reddy, A-7) Poonem Bhoodevi, A-8) Payam Akkamma, A-9) Karam Durgamma, A-10) Karam Singaraju and some otheer Inumuru Villagers, </t>
    </r>
    <r>
      <rPr>
        <b/>
        <sz val="11"/>
        <color theme="1"/>
        <rFont val="Times New Roman"/>
        <family val="1"/>
      </rPr>
      <t>Land Dispute between Non-Tribe and  Inumuru Tribes</t>
    </r>
  </si>
  <si>
    <r>
      <t xml:space="preserve">‘A’ Party:
Karedla Ramachandrarao S/o Naganna, Karedlagudem Village, Buttaigudem Mandal  
‘B’ Party:
A-1) Karedla Ramakrishna, S/o Gangaraju,  A-2) Karedla Gangadhararao S/o Ramakrishna, A-3) Karedla Kantharao S/o Ramakrishna, A-4)Dandabathula Nageswararao S/o Venkanna, A-5) Maram Manikanta S/o Tatharao, </t>
    </r>
    <r>
      <rPr>
        <b/>
        <sz val="11"/>
        <color theme="1"/>
        <rFont val="Times New Roman"/>
        <family val="1"/>
      </rPr>
      <t>Family  Dispute between two brothers in the view of RS.NO.143/1A, 143/11, 144/1E an extent of Ac.1.94 Cents at Karedlagudem Village, Reddyganapavaram Panchayati, Buttaigudem Mandal</t>
    </r>
  </si>
  <si>
    <r>
      <rPr>
        <sz val="12"/>
        <color theme="1"/>
        <rFont val="Bookman Old Style"/>
        <family val="1"/>
      </rPr>
      <t xml:space="preserve">S.I is instructed to keep close watch about the movements of both groups, as in future there is every chance that their rivalry may leads to any Law &amp; Order issue.
 Both the parties were bindovered vide </t>
    </r>
    <r>
      <rPr>
        <u/>
        <sz val="12"/>
        <color theme="1"/>
        <rFont val="Bookman Old Style"/>
        <family val="1"/>
      </rPr>
      <t>MC.No</t>
    </r>
    <r>
      <rPr>
        <sz val="12"/>
        <color theme="1"/>
        <rFont val="Bookman Old Style"/>
        <family val="1"/>
      </rPr>
      <t xml:space="preserve">'s 90-97/2025 </t>
    </r>
  </si>
  <si>
    <r>
      <t xml:space="preserve">CASTE CONFLICTS
</t>
    </r>
    <r>
      <rPr>
        <b/>
        <sz val="14"/>
        <color theme="1"/>
        <rFont val="Tahoma"/>
        <family val="2"/>
      </rPr>
      <t>1)Land disputes,2)Ganesh Festival, 3)Statues viz., Dr.B.R. Ambedkar, Ranga and Bubu Jagajjevanram, 4) Jatharas and 5) Flexes</t>
    </r>
  </si>
  <si>
    <t>In view of  continuous efforts like bind overs, booking of cases, posting picket, councelling to the elders, the issues was not totally calm down.  
At present the siverity has come down to category B from A</t>
  </si>
  <si>
    <t>Mandapati Basava Reddy of Chatrai village &amp; Mandal, who belongs to the TDP party, had earlier been abused in an inebriated condition by Ambati Somashekar @ Appi, also of the same village and belonging to the Kapu community and the TDP party, though factional differences existed between them, and that Basava Reddy had complained to the police, who allegedly summoned and beat Somashekar.A few days later Basava Reddy developed an illicit relationship with a married woman from Vissannapeta, and on 14-02-2026, prior to the Shivaratri festival, he was allegedly assaulted in Vissannapeta village by the relatives of the said woman’s husband. Upon learning of this incident, Ambati Somashekar created a disturbance in the village by alleging that Basava Reddy had been beaten by the woman’s husband’s relatives after being found at her residence. Suspecting the involvement of Ambati Somashekar in the said incident, some members of the Reddy community along with Basava Reddy attempted to lodge a complaint against him at Chatrai Police Station, but the police reportedly refused to receive the complaint on the ground that the occurrence had taken place within the limits of Vissannapeta.There was a likelihood of communal tension and possible clashes arising between members of the Reddy and Kapu communities in connection with the said incident.</t>
  </si>
  <si>
    <t>SI stated that warned to both parties and now village is peacefull without any quarel and the matter discussing in TDP Party elders</t>
  </si>
  <si>
    <t>Peruggudem
(Govindapuram)</t>
  </si>
  <si>
    <t>Motukuri Laxmana Rao, resident of Govindapuram hamlet of Perugudem Village, Denduluru Mandal, has two daughters namely Guna Gangaveni and Jyothika. While studying at CRR Engineering College, Eluru, Guna Gangaveni became acquainted with Maganti Upagna, through whom their family came into contact with Upagna’s mother Maganti Lakshmi Ratna Durga Vani.
Durga Vani assured that she could arrange an MBBS payment seat at a lower cost and induced Motukuri Laxmana Rao to pay money. Initially, he paid Rs.1,00,000/- (Rs.90,000 cash and Rs.10,000 through PhonePe) and later paid about Rs.50 lakhs through cash, cheques and online transfers. She also provided a fake recommendation letter in the name of Pinnamaneni Siddhartha Medical College.
When the complainant verified with the college, it was found to be fake. On questioning her, she again promised to secure a seat through the NEET exam and collected another Rs.68 lakhs. Later she again issued a fake letter in the name of Rangaraya Medical College, thereby cheating the complainant.
Based on the complaint of Motukuri Laxmana Rao, Cr.No.306/2023 U/S 420 IPC was registered at Denduluru Police Station, and the case is under investigation.
Later, local leaders mediated and an agreement was made that Rs.1 crore would be returned, failing which 2 acres 40 cents of agricultural land at Gopannapalem, belonging to Durga Vani’s husband Ashok Kumar, would be given as compensation.
However, whenever Laxmana Rao attempts to take possession of the land, Durga Vani allegedly informs police with false allegations, resulting in a continuing dispute between both parties regarding the said land.</t>
  </si>
  <si>
    <t>Cr.No.306/2023 U/S 420 IPC was registered at Denduluru Police Station, and the case is under investigation.</t>
  </si>
  <si>
    <t>The situation in the village is peaceful. The S.I Ganapavaram PS is instructed to keep close watch about the movements of both groups, and made counseling between them to avert any untoward incidents.</t>
  </si>
  <si>
    <t>Sensitivity / Risk Assessment
As both religious events fall on the same day and involve members of the same community, there is a possibility of differences in religious sentiments leading to tensions. Even minor disputes may escalate into communal friction in the future.</t>
  </si>
  <si>
    <t>In Denduluru Mandal, Sriramavaram village, within the SC Madiga colony, there is an RCM Church. The Parish Father of Denduluru, Sri Gode Amman Raju, is serving as the Church Father. Devadas Master (Cell: 99495 57213) is working as the catechist of the said church.
To the southern side of the church, there has been a Gangamma temple since long. Recently, the temple structure has been elevated and a slab has been laid. The temple re-consecration (Pratishta) is scheduled to be held on the 26th of this month.
The arrangements for the temple are being led by the following persons:
Kothapalli Venkateswara Rao
Kolluru Srinivasa Rao (Cell: 7659822517, Age: 40, S/o Rama Rao, SC Madiga)
Kolluru Mangaraju (Cell: 9000358405, Age: 28, S/o Venkanna Babu)
It is observed that the day of the temple re-consecration coincides with Good Friday. The individuals attending both the church and the temple belong to the same community.</t>
  </si>
  <si>
    <t>VILLAGE ISSUES &amp;  LAW AND ORDER ISSUES AS ON 31.03.2026</t>
  </si>
  <si>
    <t xml:space="preserve">INFORMATION ON L&amp;O ISSUES/OTHER IMPORTANT ISSUES EXISTING IN THE VILLAGES IN ELURU DISTRICT
(AS ON 31.03.2026) </t>
  </si>
  <si>
    <t>In Pulla (v) near sandy market, Bhimadole(M), one Pathala Naga Raju s/o (late) Venkata Rao, 48 years, SC (Mala), Padamata Harijanapeta, Pulla (V), Bhimadole (M) was murdered by the accused 1) Kandru Isaac s/o Nageswara Rao, 38 years, SC (Mala), Padamata Harijanapeta, Pulla (V), Bhimadole (M) and 3 others on 02-12-2025 at about 9-15 PM due to illegal affair between deceased and A1 vide Cr. No. 249/2025 U/s 103 (1) R/W 3 (5) BNS of Bhimadole PS on 02-12-2025 at 10-00 AM
The followers and sympathizers of deceased who are SCs of Pulla (v) have formed a group and they have burnt the house of Kandru Raju who is brother of deceased on 05.12.2025 with an intention to take revenge against the accused in murder issue vide Cr. No. 252/2025 U/s 329(4), 324(4), 326(f), 326(g), 189(2) R/w 190 BNS of Bhimadole Police Station on 05/12/2025 at 23.00 Hrs.</t>
  </si>
  <si>
    <t>Issue arose out of the same festival procession (Durga Ammavari Procession  on 05-10-2025) at Denduluru village, involving a long-standing dispute between two local groups —
A-Group (Sainikapeta residents)(1. Gandham Ramu, S/o Chiranjeevi, 2. Kalidasu Subbu, 22 yrs, T-Kapu, 3. Peddireddy Manikantha, 4.Sirithiyala Kishore, 5.Bannu, R/o Alugulagudem
Other unnamed friends and supporters of Sainikapeta)  and B-Group (1.Nerpu Pavan, S/o Rangarao, 2.Akula Vasu, S/o Srinivas, 3.Cheddika Kiran, S/o Krishna, 4.Nersu Sai Krishna, S/o Lakshman, 5.
Maganti Krishna, S/o Narsayya Other friends and local youths of Yadav Bazaar -Yadav Bazaar residents.) 
Two cases were registered as Cr.No.225/2025 U/s 300, 115(2), 351(2), 191(2) BNS and Cr.No.226/2025U/s 300, 115(2), 351(2), 191(2) BNS based on the complaint given by VRO and are under investigation.</t>
  </si>
  <si>
    <t>LAND DISPUTES AMONG BROTHERS:
‘A’ Party:
1. Chagallu Ravichandra, S/o Mahindra Rao, 39 years, Kamma, Kalarayannagudem village, Lingapalem Mandal.   
2. Chagallu Mahindra Rao, S/o Bhusayya, 65 years, Kamma, Kalarayannagudem village, Lingapalem Mandal.
3. Chagallu Suribabu, S/o Nageswararao_, 47 years, Kamma, Kalarayannagudem village, Lingapalem Mandal.
 ‘B’ Party:
1. Chagallu Vayanandana Prasad, S/o Bapineedu, 50 years, Kamma, Kalarayannagudem village, Lingapalem Mandal.
2. Chagallu Kartheek, S/o Vayanandana prasad , 21 years, Kamma, Kalarayannagudem village, Lingapalem Mandal.
3. Chagallu Bapineedu, S/o Bhusayya, 67 years, Kamma, Kalarayannagudem village, Lingapalem Mandal                                                         .Cr.No.263/2023 u/s 447, 324, 323, 506 r/w 34 IPCalter into 307 IPC  Cr.No.264/2023 u/s 447, 324, 323, 506 r/w 34 IPC   CR NO 230/2024 U/S 126(2) 109(1) R/W 3(5) BNS , CR NO 232/2024 U/S 118(1) ,115(10,351(2) R/W 3(5) BNS has registered in Dharmajigudem Police Station</t>
  </si>
  <si>
    <t>The situation in the village is peaceful
(SB information)</t>
  </si>
  <si>
    <t>At present situation is peaceful
(SB information)</t>
  </si>
  <si>
    <t>_</t>
  </si>
  <si>
    <t>Cases registered</t>
  </si>
  <si>
    <t xml:space="preserve">* Frequent bickerings are
taking place between both
family members.
* Counselling conducted to
both groups.
* Kept close watch over the
both parties to prevent
untoward incidents.
* Present situation is
peacful. </t>
  </si>
  <si>
    <r>
      <rPr>
        <u/>
        <sz val="11"/>
        <color theme="1"/>
        <rFont val="Bookman Old Style"/>
        <family val="1"/>
      </rPr>
      <t>LAND DISPUTE:</t>
    </r>
    <r>
      <rPr>
        <sz val="11"/>
        <color theme="1"/>
        <rFont val="Bookman Old Style"/>
        <family val="1"/>
      </rPr>
      <t xml:space="preserve">
Illa Durgarao, S/O Venkanna, 52 yrs, C/Athirasa, LND Peta village of Polavaram Mandal. And 12 others
Vs
Chikkala Venkatesulu, S/O Rama Swamy, A/63yrs, C/Athirasa, LND Peta village of Polavaram Mandal and 12 others.
Occurred on 09.04.2022 at about 11.00 AM, in cultivation field vide Rs.No’s: 388/1 and 388/3 4 at LND Peta Village, Polavaram Mandal and  the  same was reported on 09.04.2022 at 05.30 PM where in the complainant R.Sreenu SI of Police Polavaram PS A party and B party were disputed about agricultural field which  is situated  in  Rs.No’s:  388/1 and 388/3
with an extent of 6.92 acre in LND Peta Village of Polavaram Mandal. Both Parties were disputed about said agricultural field and a case was registered as Cr.No.68/2022  U/s.447,  509,  427  R/w  34  IPC  of
Polavaram PS on 22-03-2022 at 01.00 P.M. Later the complainant have obtained enjoyment certificate from Tahasildar, Polavaram and came to conclude that the land belongs to Illa Durga Rao, S/o. Venkanna, LND Peta, Polavaram Mandal. Matter stood thus on 09-4- 2022 the A Party entered in to the above said cashew garden while B party were present due to which tense situation prevailed between two group. The complainant along with Tahasildar, Polavaram and officials rushed to above scene of offence and warned the both parties. Hence I have filed information in the Hon’ble court of Mandal Executive Magistrate, Polavaram with a request to issue Summons for
having good behaviour.
</t>
    </r>
  </si>
  <si>
    <r>
      <rPr>
        <u/>
        <sz val="11"/>
        <color theme="1"/>
        <rFont val="Bookman Old Style"/>
        <family val="1"/>
      </rPr>
      <t>LAND DISPUTE:</t>
    </r>
    <r>
      <rPr>
        <sz val="11"/>
        <color theme="1"/>
        <rFont val="Bookman Old Style"/>
        <family val="1"/>
      </rPr>
      <t xml:space="preserve">
II. Ganjimala Devi W/o Ramarao, aged 40 years, C/SC-Mala, Koyyalagudem 
Village &amp; Mandal.
1) Ganjimala Ramarao S/o Abraham, aged 47 years, C/SC-Mala, Koyyalagudem Village &amp; Mandal.
Vs
 1) Gandhipamu Premalatha, Ankalagudem (v), Koyyalagudem (M).
2) Yeleti Chandram, Ankalagudem (v), Koyyalagudem (M).
3) Gandhipamu David, Ankalagudem (v), Koyyalagudem (M).
4) Sanamandra Kanaka Raju
And some others.
Cr.No.365/2021 U/s 447,341,506 r/w 34 IPC of Kyyalagudem PS
Occurred on 24.06.2021 at about 12.00 noon in R.S No. 194-2A1, 194-2A2, Parimpudi village
fields of Koyyalagudem Mandal and reported on same day at 08.00 PM. By the complainant
Ganjimala Devi W/o Rama Rao, A/40, Koyyalagudem village and mandal. Wherein the accused
Gandhipamu Premalatha, Ankalagudem village of Koyyalagudem Mandal and some others
criminal trespassed in to the land of the complainant's husband Ganjimala Rama Rao in R.S No.
194-2A1, 194-2A2 and wrongfully restrained, threatened him with dire consequences. Due to
land disputes.
Cr.No.608/2021 U/s 447,341,506 r/w 34 IPC of Kyyalagudem PS
Occurred on 14.12.2021 at about 12.00 noon in R.S No.101-3A, 194-2A1, 194-2A2, Parimpudi
village fields of Koyyalagudem Mandal and reported on same day at 07.00 PM. By the
complainant Ganjimala Devi W/o Rama Rao, A/40, Koyyalagudem village and mandal. Wherein
the accused Gandhipamu Premalatha , Ankalagudem village of Koyyalagudem Mandal and 2
others criminal trespassed in to the land of the complainant's husband Ganjimala Rama Rao in R.S No.101-3A, 194-2A1, 194-2A2 and wrongfully restrained, threatened him with dire
consequences. Due to land disputes.
Cr.No.348/2021 U/s 447,341,506 r/w 34 IPC of Kyyalagudem PS
Occurred on 27.10.2022 at 10.00 AM, in the fields of Parimpudi village of Koyyalagudem mandal and reported on the same day at 07.00 PM. Where in the accused Gandhipomu Hema Latha W/o Late Nani, Ankalagudem village of Koyyalagudem mandal and 2 others criminally trespassed in to land of the complainant Ganjimala Devi W/o Rama Rao, A/41, Koyyalagudem village and mandal wrongful restrained, threatened her with dire consequences due to their land disputes. 
</t>
    </r>
  </si>
  <si>
    <r>
      <rPr>
        <b/>
        <sz val="11"/>
        <color theme="1"/>
        <rFont val="Bookman Old Style"/>
        <family val="1"/>
      </rPr>
      <t>LAND GRABBING:</t>
    </r>
    <r>
      <rPr>
        <sz val="11"/>
        <color theme="1"/>
        <rFont val="Bookman Old Style"/>
        <family val="1"/>
      </rPr>
      <t xml:space="preserve">
 Land disputes between the ST peoples of Vankabothappaguda village and other ST caste peoples.
</t>
    </r>
    <r>
      <rPr>
        <b/>
        <u/>
        <sz val="11"/>
        <color theme="1"/>
        <rFont val="Bookman Old Style"/>
        <family val="1"/>
      </rPr>
      <t>ST PERSONS:-</t>
    </r>
    <r>
      <rPr>
        <sz val="11"/>
        <color theme="1"/>
        <rFont val="Bookman Old Style"/>
        <family val="1"/>
      </rPr>
      <t xml:space="preserve">
A1) Madakam Venkateswararao, S/o Muthyalu, A/53years, C/ST-Koya, Madakamvarigudem, Vankavarigudem, Village in Jeelugumilli Mandal.
A2) Kunja Prasad,S/o Usharao, A/34 yrs, C/ST-Koya, 
Koyarajamundry Village of Buttaigudem Mandal.
A3) Vanka Prasad @ Venkata Prasad, S/o Kovadayya, A/27 yrs, C/ST-Koya, Vankabothappagudem Village of Koyyalagudem Mandal.
A4) Vanka Pentayya @ Pentarao, S/o (late) Venkanna, A/38 yrs, C/ST- Koya,Vankabothappagudem Village of Koyyalagudem (M)
A5) Pusam Sriramulu @ Sriramurthi, S/o Murtyalarao, A/45 yrs, C/ST-Koya,Vankabothappagudem Village of Koyyalagudem (M)
A6) Vanka Rajyalakshmi @ Varalakshmi, W/o Gangaraju,A/36 yrs, C/ST-Koya,Vankabothappagudem Village of Koyyalagudem (M)
A7) Vanka Ramurthi, S/o Jyogiraju , A/ 43 yrs, C/ST-Koya,  
Vankabothappagudem Village of Koyyalagudem Mandal.
A8) Vanka Nageswararao, S/o Bhimudu, A/ 45 yrs, C/ST-Koya,  
Vankabothappagudem Village of Koyyalagudem Mandal.
A9) Vanka Seethamma, W/o (late) Venkateswarao,A/ 38 yrs, C/ST-Koya,Vankabothappagudem Village of Koyyalagudem Mandal.
A10) Gedla Narsamma, W/o Ramudu, A/ 53 yrs, C/ST-Koya, 
Vankabothappagudem Village of Koyyalagudem Mandal.
A11) Aareti Venkateswarao,S/o Suryarao, A/ 56 yrs, C/Kapu,   
Vankabothappagudem Village of Koyyalagudem Mandal.
A12) Kanithi Mangamma @ Manga, W/o Panduraju, A/38 yrs, C/ST-Koya,  Vankabothappagudem Village of Koyyalagudem Mandal.
A13) Vanka Kovadayya,S/o Suryanarayana, A/60 yrs, C/ST-Koya, 
Vankabothappagudem Village of Koyyalagudem Mandal.
A14) Vanka Bajaramma,W/o Singaraju, A/54 yrs, C/ST-Koya,    
Vankabothappagudem Village of Koyyalagudem Mandal.
A15) Vanka Gangadevi,W/o Venkataswamy, A/58 yrs, C/ST-Koya, 
Vankabothappagudem Village of Koyyalagudem Mandal.
A16) Kursam Kumari @ Vijaya Kumari, W/o Somaraju, A/43 yrs, C/ST-Koya,  
Vankabothappagudem Village of Koyyalagudem Mandal.
A17) Kunja Mangamma,W/o Bajaramma, A/48 yrs, C/ST-Koya, 
Vankabothappagudem Village of Koyyalagudem Mandal.
A18) Komaram Chellayya, S/o (late) Venkanna, A/60 yrs, C/ST-Koya, 
Vankabothappagudem Village of Koyyalagudem Mandal.
</t>
    </r>
    <r>
      <rPr>
        <b/>
        <u/>
        <sz val="11"/>
        <color theme="1"/>
        <rFont val="Bookman Old Style"/>
        <family val="1"/>
      </rPr>
      <t>OTHER CASTE PERSONS:-</t>
    </r>
    <r>
      <rPr>
        <sz val="11"/>
        <color theme="1"/>
        <rFont val="Bookman Old Style"/>
        <family val="1"/>
      </rPr>
      <t xml:space="preserve">
1) Kalagara Sesha Rathnam, W/o Vigneswararao, A/60years, C/Kamma, Buttaigudem Village and Mandal.   
2) Gadde Subhasri, W/o Siva Prasad, A/66years, C/Kamma, Samarlakota, East Godavari.
3) Guthikonda Veera Venkata Lakshmi, S/o Lakshmana Chowdary, A/50years, C/Kamma, Dippakayalapadu Village, Koyyalagudem mandal
4) Kalagara Kumara swamy, S/o Subba Rao, A/68years, C/Kamma, Buttaigudem Village and Mandal.
5) Parimi Raj Kumar, S/o Ramachandraprasad, A/32years, C/Kamma, Dippakayalapadu Village Koyyalagudem Mandal.
6) Bavirisetti Prasad, S/o. Bavirisetti Satyanarayana, Aged About 45 years, Occupation Farmer, R/o 6-164A, Beside Society, Bayyannagudem Village, Koyyalgudem Mandal, Eluru District
Ph: 9505844005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</si>
</sst>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Times New Roman"/>
      <charset val="204"/>
    </font>
    <font>
      <b/>
      <sz val="12"/>
      <color theme="1"/>
      <name val="Bookman Old Style"/>
      <family val="1"/>
    </font>
    <font>
      <sz val="36"/>
      <color rgb="FF000000"/>
      <name val="Times New Roman"/>
      <family val="1"/>
    </font>
    <font>
      <sz val="10"/>
      <color rgb="FF000000"/>
      <name val="Times New Roman"/>
      <family val="1"/>
    </font>
    <font>
      <sz val="12"/>
      <color theme="1"/>
      <name val="Bookman Old Style"/>
      <family val="1"/>
    </font>
    <font>
      <sz val="11"/>
      <color theme="1"/>
      <name val="Bookman Old Style"/>
      <family val="1"/>
    </font>
    <font>
      <sz val="14"/>
      <color theme="1"/>
      <name val="Bookman Old Style"/>
      <family val="1"/>
    </font>
    <font>
      <b/>
      <sz val="14"/>
      <color theme="1"/>
      <name val="Bookman Old Style"/>
      <family val="1"/>
    </font>
    <font>
      <b/>
      <sz val="16"/>
      <color theme="1"/>
      <name val="Bookman Old Style"/>
      <family val="1"/>
    </font>
    <font>
      <u/>
      <sz val="12"/>
      <color theme="1"/>
      <name val="Bookman Old Style"/>
      <family val="1"/>
    </font>
    <font>
      <b/>
      <sz val="14"/>
      <color theme="1"/>
      <name val="Arial"/>
      <family val="2"/>
    </font>
    <font>
      <sz val="10"/>
      <name val="Times New Roman"/>
      <family val="1"/>
    </font>
    <font>
      <sz val="10"/>
      <color theme="1"/>
      <name val="Times New Roman"/>
      <family val="1"/>
    </font>
    <font>
      <b/>
      <sz val="10"/>
      <color theme="1"/>
      <name val="Arial"/>
      <family val="2"/>
    </font>
    <font>
      <b/>
      <sz val="12"/>
      <color theme="1"/>
      <name val="Arial"/>
      <family val="2"/>
    </font>
    <font>
      <b/>
      <sz val="18"/>
      <color theme="1"/>
      <name val="Tahoma"/>
      <family val="2"/>
    </font>
    <font>
      <b/>
      <sz val="11"/>
      <color theme="1"/>
      <name val="Bookman Old Style"/>
      <family val="1"/>
    </font>
    <font>
      <sz val="11"/>
      <color theme="1"/>
      <name val="Times New Roman"/>
      <family val="1"/>
    </font>
    <font>
      <b/>
      <sz val="11"/>
      <color theme="1"/>
      <name val="Times New Roman"/>
      <family val="1"/>
    </font>
    <font>
      <b/>
      <sz val="14"/>
      <color theme="1"/>
      <name val="Tahoma"/>
      <family val="2"/>
    </font>
    <font>
      <sz val="10"/>
      <color theme="1"/>
      <name val="Times New Roman"/>
      <family val="1"/>
    </font>
    <font>
      <u/>
      <sz val="11"/>
      <color theme="1"/>
      <name val="Bookman Old Style"/>
      <family val="1"/>
    </font>
    <font>
      <b/>
      <u/>
      <sz val="11"/>
      <color theme="1"/>
      <name val="Bookman Old Style"/>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3" fillId="0" borderId="0"/>
  </cellStyleXfs>
  <cellXfs count="56">
    <xf numFmtId="0" fontId="0" fillId="0" borderId="0" xfId="0" applyAlignment="1">
      <alignment horizontal="left" vertical="top"/>
    </xf>
    <xf numFmtId="0" fontId="0" fillId="0" borderId="0" xfId="0" applyAlignment="1">
      <alignment vertical="top"/>
    </xf>
    <xf numFmtId="0" fontId="4" fillId="0" borderId="0" xfId="0" applyFont="1" applyAlignment="1">
      <alignment horizontal="left" vertical="center" wrapText="1"/>
    </xf>
    <xf numFmtId="0" fontId="4" fillId="0" borderId="0" xfId="0" applyFont="1" applyAlignment="1">
      <alignment horizontal="center" vertical="center" wrapText="1"/>
    </xf>
    <xf numFmtId="1" fontId="4" fillId="0" borderId="1" xfId="0" applyNumberFormat="1" applyFont="1" applyBorder="1" applyAlignment="1">
      <alignment horizontal="center" vertical="center" wrapText="1" shrinkToFit="1"/>
    </xf>
    <xf numFmtId="0" fontId="4" fillId="0" borderId="1" xfId="0" applyFont="1" applyBorder="1" applyAlignment="1">
      <alignment horizontal="left" vertical="center" wrapText="1"/>
    </xf>
    <xf numFmtId="0" fontId="4" fillId="0" borderId="0" xfId="0" applyFont="1" applyAlignment="1">
      <alignment vertical="center" wrapText="1"/>
    </xf>
    <xf numFmtId="0" fontId="7" fillId="0" borderId="1" xfId="0" applyFont="1" applyBorder="1" applyAlignment="1">
      <alignment horizontal="center" vertical="center" wrapText="1"/>
    </xf>
    <xf numFmtId="0" fontId="6" fillId="0" borderId="0" xfId="0" applyFont="1" applyAlignment="1">
      <alignment horizontal="center" vertical="center" wrapText="1"/>
    </xf>
    <xf numFmtId="0" fontId="4" fillId="0" borderId="1" xfId="0" applyFont="1" applyBorder="1" applyAlignment="1">
      <alignment vertical="top" wrapText="1"/>
    </xf>
    <xf numFmtId="0" fontId="7" fillId="0" borderId="1" xfId="0" applyFont="1" applyBorder="1" applyAlignment="1">
      <alignment horizontal="left" vertical="center" wrapText="1"/>
    </xf>
    <xf numFmtId="0" fontId="4" fillId="0" borderId="1" xfId="0" applyFont="1" applyBorder="1" applyAlignment="1">
      <alignment horizontal="center" vertical="center"/>
    </xf>
    <xf numFmtId="0" fontId="5" fillId="0" borderId="1" xfId="0" applyFont="1" applyBorder="1" applyAlignment="1">
      <alignment vertical="center" wrapText="1"/>
    </xf>
    <xf numFmtId="0" fontId="4" fillId="0" borderId="1" xfId="0" applyFont="1" applyBorder="1" applyAlignment="1">
      <alignment horizontal="center" wrapText="1"/>
    </xf>
    <xf numFmtId="0" fontId="4" fillId="0" borderId="1" xfId="0" applyFont="1" applyBorder="1" applyAlignment="1">
      <alignment wrapText="1"/>
    </xf>
    <xf numFmtId="0" fontId="10" fillId="0" borderId="1" xfId="0" applyFont="1" applyBorder="1" applyAlignment="1">
      <alignment horizontal="center" vertical="center" wrapText="1"/>
    </xf>
    <xf numFmtId="0" fontId="5" fillId="0" borderId="1" xfId="0" applyFont="1" applyBorder="1" applyAlignment="1">
      <alignment horizontal="left" vertical="top" wrapText="1"/>
    </xf>
    <xf numFmtId="0" fontId="14" fillId="0" borderId="1" xfId="0" applyFont="1" applyBorder="1" applyAlignment="1">
      <alignment horizontal="center" vertical="center" wrapText="1"/>
    </xf>
    <xf numFmtId="0" fontId="12" fillId="0" borderId="0" xfId="0" applyFont="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applyAlignment="1">
      <alignment horizontal="left" vertical="center"/>
    </xf>
    <xf numFmtId="0" fontId="4" fillId="0" borderId="3" xfId="0" applyFont="1" applyBorder="1" applyAlignment="1">
      <alignment vertical="center" wrapText="1"/>
    </xf>
    <xf numFmtId="0" fontId="4" fillId="0" borderId="3"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1" applyFont="1" applyBorder="1" applyAlignment="1">
      <alignment vertical="center" wrapText="1"/>
    </xf>
    <xf numFmtId="0" fontId="4" fillId="0" borderId="1" xfId="1" applyFont="1" applyBorder="1" applyAlignment="1">
      <alignment horizontal="center" vertical="center" wrapText="1"/>
    </xf>
    <xf numFmtId="0" fontId="4" fillId="0" borderId="4" xfId="0" applyFont="1" applyBorder="1" applyAlignment="1">
      <alignment horizontal="left" vertical="center" wrapText="1"/>
    </xf>
    <xf numFmtId="0" fontId="4" fillId="0" borderId="4"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left" vertical="center" wrapText="1"/>
    </xf>
    <xf numFmtId="0" fontId="9" fillId="0" borderId="1" xfId="0" applyFont="1" applyBorder="1" applyAlignment="1">
      <alignment horizontal="left" vertical="center" wrapText="1"/>
    </xf>
    <xf numFmtId="0" fontId="5" fillId="0" borderId="1" xfId="0" applyFont="1" applyBorder="1" applyAlignment="1">
      <alignment horizontal="left" vertical="center" wrapText="1"/>
    </xf>
    <xf numFmtId="0" fontId="13" fillId="0" borderId="1" xfId="0" applyFont="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top" wrapText="1"/>
    </xf>
    <xf numFmtId="0" fontId="20"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1" fillId="0" borderId="1" xfId="0" applyFont="1" applyBorder="1" applyAlignment="1">
      <alignment horizontal="left" vertical="top"/>
    </xf>
    <xf numFmtId="0" fontId="1" fillId="0" borderId="1" xfId="0" applyFont="1" applyBorder="1" applyAlignment="1">
      <alignment horizontal="center" wrapText="1"/>
    </xf>
    <xf numFmtId="0" fontId="1" fillId="0" borderId="2" xfId="0" applyFont="1" applyBorder="1" applyAlignment="1">
      <alignment horizontal="left" wrapText="1"/>
    </xf>
    <xf numFmtId="0" fontId="1" fillId="0" borderId="3" xfId="0" applyFont="1" applyBorder="1" applyAlignment="1">
      <alignment horizontal="left" wrapText="1"/>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1" fontId="4" fillId="0" borderId="1" xfId="0" applyNumberFormat="1" applyFont="1" applyBorder="1" applyAlignment="1">
      <alignment horizontal="center" vertical="center" wrapText="1"/>
    </xf>
    <xf numFmtId="0" fontId="20" fillId="0" borderId="1" xfId="0" applyFont="1" applyBorder="1" applyAlignment="1">
      <alignment horizontal="center" vertical="center" wrapText="1"/>
    </xf>
    <xf numFmtId="0" fontId="4" fillId="0" borderId="1" xfId="0" applyFont="1" applyBorder="1" applyAlignment="1">
      <alignment horizontal="left" vertical="center" wrapText="1"/>
    </xf>
    <xf numFmtId="0" fontId="20" fillId="0" borderId="1" xfId="0" applyFont="1" applyBorder="1" applyAlignment="1">
      <alignment horizontal="left" vertical="center" wrapText="1"/>
    </xf>
    <xf numFmtId="0" fontId="4" fillId="0" borderId="1" xfId="0" applyFont="1" applyBorder="1" applyAlignment="1">
      <alignment horizontal="center" vertical="center" wrapText="1"/>
    </xf>
    <xf numFmtId="0" fontId="8" fillId="0" borderId="1" xfId="0"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vertical="center" wrapText="1"/>
    </xf>
    <xf numFmtId="0" fontId="5" fillId="0" borderId="1" xfId="0" applyFont="1" applyBorder="1" applyAlignment="1">
      <alignment vertical="top"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cr.no/"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mc.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8"/>
  <sheetViews>
    <sheetView tabSelected="1" view="pageBreakPreview" zoomScale="115" zoomScaleNormal="85" zoomScaleSheetLayoutView="115" workbookViewId="0">
      <selection activeCell="S10" sqref="S10"/>
    </sheetView>
  </sheetViews>
  <sheetFormatPr defaultRowHeight="12.75" x14ac:dyDescent="0.2"/>
  <sheetData>
    <row r="1" spans="1:15" ht="30.75" customHeight="1" x14ac:dyDescent="0.2">
      <c r="A1" s="38" t="s">
        <v>96</v>
      </c>
      <c r="B1" s="38"/>
      <c r="C1" s="38"/>
      <c r="D1" s="38"/>
      <c r="E1" s="38"/>
      <c r="F1" s="38"/>
      <c r="G1" s="38"/>
      <c r="H1" s="38"/>
      <c r="I1" s="38"/>
      <c r="J1" s="38"/>
      <c r="K1" s="38"/>
      <c r="L1" s="1"/>
      <c r="M1" s="1"/>
      <c r="N1" s="1"/>
      <c r="O1" s="1"/>
    </row>
    <row r="2" spans="1:15" ht="30.75" customHeight="1" x14ac:dyDescent="0.2">
      <c r="A2" s="38"/>
      <c r="B2" s="38"/>
      <c r="C2" s="38"/>
      <c r="D2" s="38"/>
      <c r="E2" s="38"/>
      <c r="F2" s="38"/>
      <c r="G2" s="38"/>
      <c r="H2" s="38"/>
      <c r="I2" s="38"/>
      <c r="J2" s="38"/>
      <c r="K2" s="38"/>
      <c r="L2" s="1"/>
      <c r="M2" s="1"/>
      <c r="N2" s="1"/>
      <c r="O2" s="1"/>
    </row>
    <row r="3" spans="1:15" ht="30.75" customHeight="1" x14ac:dyDescent="0.2">
      <c r="A3" s="38"/>
      <c r="B3" s="38"/>
      <c r="C3" s="38"/>
      <c r="D3" s="38"/>
      <c r="E3" s="38"/>
      <c r="F3" s="38"/>
      <c r="G3" s="38"/>
      <c r="H3" s="38"/>
      <c r="I3" s="38"/>
      <c r="J3" s="38"/>
      <c r="K3" s="38"/>
      <c r="L3" s="1"/>
      <c r="M3" s="1"/>
      <c r="N3" s="1"/>
      <c r="O3" s="1"/>
    </row>
    <row r="4" spans="1:15" ht="30.75" customHeight="1" x14ac:dyDescent="0.2">
      <c r="A4" s="38"/>
      <c r="B4" s="38"/>
      <c r="C4" s="38"/>
      <c r="D4" s="38"/>
      <c r="E4" s="38"/>
      <c r="F4" s="38"/>
      <c r="G4" s="38"/>
      <c r="H4" s="38"/>
      <c r="I4" s="38"/>
      <c r="J4" s="38"/>
      <c r="K4" s="38"/>
      <c r="L4" s="1"/>
      <c r="M4" s="1"/>
      <c r="N4" s="1"/>
      <c r="O4" s="1"/>
    </row>
    <row r="5" spans="1:15" ht="30.75" customHeight="1" x14ac:dyDescent="0.2">
      <c r="A5" s="38"/>
      <c r="B5" s="38"/>
      <c r="C5" s="38"/>
      <c r="D5" s="38"/>
      <c r="E5" s="38"/>
      <c r="F5" s="38"/>
      <c r="G5" s="38"/>
      <c r="H5" s="38"/>
      <c r="I5" s="38"/>
      <c r="J5" s="38"/>
      <c r="K5" s="38"/>
      <c r="L5" s="1"/>
      <c r="M5" s="1"/>
      <c r="N5" s="1"/>
      <c r="O5" s="1"/>
    </row>
    <row r="6" spans="1:15" ht="30.75" customHeight="1" x14ac:dyDescent="0.2">
      <c r="A6" s="38"/>
      <c r="B6" s="38"/>
      <c r="C6" s="38"/>
      <c r="D6" s="38"/>
      <c r="E6" s="38"/>
      <c r="F6" s="38"/>
      <c r="G6" s="38"/>
      <c r="H6" s="38"/>
      <c r="I6" s="38"/>
      <c r="J6" s="38"/>
      <c r="K6" s="38"/>
      <c r="L6" s="1"/>
      <c r="M6" s="1"/>
      <c r="N6" s="1"/>
      <c r="O6" s="1"/>
    </row>
    <row r="7" spans="1:15" ht="30.75" customHeight="1" x14ac:dyDescent="0.2">
      <c r="A7" s="38"/>
      <c r="B7" s="38"/>
      <c r="C7" s="38"/>
      <c r="D7" s="38"/>
      <c r="E7" s="38"/>
      <c r="F7" s="38"/>
      <c r="G7" s="38"/>
      <c r="H7" s="38"/>
      <c r="I7" s="38"/>
      <c r="J7" s="38"/>
      <c r="K7" s="38"/>
      <c r="L7" s="1"/>
      <c r="M7" s="1"/>
      <c r="N7" s="1"/>
      <c r="O7" s="1"/>
    </row>
    <row r="8" spans="1:15" ht="30.75" customHeight="1" x14ac:dyDescent="0.2">
      <c r="A8" s="38"/>
      <c r="B8" s="38"/>
      <c r="C8" s="38"/>
      <c r="D8" s="38"/>
      <c r="E8" s="38"/>
      <c r="F8" s="38"/>
      <c r="G8" s="38"/>
      <c r="H8" s="38"/>
      <c r="I8" s="38"/>
      <c r="J8" s="38"/>
      <c r="K8" s="38"/>
      <c r="L8" s="1"/>
      <c r="M8" s="1"/>
      <c r="N8" s="1"/>
      <c r="O8" s="1"/>
    </row>
    <row r="9" spans="1:15" ht="30.75" customHeight="1" x14ac:dyDescent="0.2">
      <c r="A9" s="1"/>
      <c r="B9" s="1"/>
      <c r="C9" s="1"/>
      <c r="D9" s="1"/>
      <c r="E9" s="1"/>
      <c r="F9" s="1"/>
      <c r="G9" s="1"/>
      <c r="H9" s="1"/>
      <c r="I9" s="1"/>
      <c r="J9" s="1"/>
      <c r="K9" s="1"/>
      <c r="L9" s="1"/>
      <c r="M9" s="1"/>
      <c r="N9" s="1"/>
      <c r="O9" s="1"/>
    </row>
    <row r="10" spans="1:15" x14ac:dyDescent="0.2">
      <c r="A10" s="1"/>
      <c r="B10" s="1"/>
      <c r="C10" s="1"/>
      <c r="D10" s="1"/>
      <c r="E10" s="1"/>
      <c r="F10" s="1"/>
      <c r="G10" s="1"/>
      <c r="H10" s="1"/>
      <c r="I10" s="1"/>
      <c r="J10" s="1"/>
      <c r="K10" s="1"/>
      <c r="L10" s="1"/>
      <c r="M10" s="1"/>
      <c r="N10" s="1"/>
      <c r="O10" s="1"/>
    </row>
    <row r="11" spans="1:15" x14ac:dyDescent="0.2">
      <c r="A11" s="1"/>
      <c r="B11" s="1"/>
      <c r="C11" s="1"/>
      <c r="D11" s="1"/>
      <c r="E11" s="1"/>
      <c r="F11" s="1"/>
      <c r="G11" s="1"/>
      <c r="H11" s="1"/>
      <c r="I11" s="1"/>
      <c r="J11" s="1"/>
      <c r="K11" s="1"/>
      <c r="L11" s="1"/>
      <c r="M11" s="1"/>
      <c r="N11" s="1"/>
      <c r="O11" s="1"/>
    </row>
    <row r="12" spans="1:15" x14ac:dyDescent="0.2">
      <c r="A12" s="1"/>
      <c r="B12" s="1"/>
      <c r="C12" s="1"/>
      <c r="D12" s="1"/>
      <c r="E12" s="1"/>
      <c r="F12" s="1"/>
      <c r="G12" s="1"/>
      <c r="H12" s="1"/>
      <c r="I12" s="1"/>
      <c r="J12" s="1"/>
      <c r="K12" s="1"/>
      <c r="L12" s="1"/>
      <c r="M12" s="1"/>
      <c r="N12" s="1"/>
      <c r="O12" s="1"/>
    </row>
    <row r="13" spans="1:15" x14ac:dyDescent="0.2">
      <c r="A13" s="1"/>
      <c r="B13" s="1"/>
      <c r="C13" s="1"/>
      <c r="D13" s="1"/>
      <c r="E13" s="1"/>
      <c r="F13" s="1"/>
      <c r="G13" s="1"/>
      <c r="H13" s="1"/>
      <c r="I13" s="1"/>
      <c r="J13" s="1"/>
      <c r="K13" s="1"/>
      <c r="L13" s="1"/>
      <c r="M13" s="1"/>
      <c r="N13" s="1"/>
      <c r="O13" s="1"/>
    </row>
    <row r="14" spans="1:15" x14ac:dyDescent="0.2">
      <c r="A14" s="1"/>
      <c r="B14" s="1"/>
      <c r="C14" s="1"/>
      <c r="D14" s="1"/>
      <c r="E14" s="1"/>
      <c r="F14" s="1"/>
      <c r="G14" s="1"/>
      <c r="H14" s="1"/>
      <c r="I14" s="1"/>
      <c r="J14" s="1"/>
      <c r="K14" s="1"/>
      <c r="L14" s="1"/>
      <c r="M14" s="1"/>
      <c r="N14" s="1"/>
      <c r="O14" s="1"/>
    </row>
    <row r="15" spans="1:15" x14ac:dyDescent="0.2">
      <c r="A15" s="1"/>
      <c r="B15" s="1"/>
      <c r="C15" s="1"/>
      <c r="D15" s="1"/>
      <c r="E15" s="1"/>
      <c r="F15" s="1"/>
      <c r="G15" s="1"/>
      <c r="H15" s="1"/>
      <c r="I15" s="1"/>
      <c r="J15" s="1"/>
      <c r="K15" s="1"/>
      <c r="L15" s="1"/>
      <c r="M15" s="1"/>
      <c r="N15" s="1"/>
      <c r="O15" s="1"/>
    </row>
    <row r="16" spans="1:15" x14ac:dyDescent="0.2">
      <c r="A16" s="1"/>
      <c r="B16" s="1"/>
      <c r="C16" s="1"/>
      <c r="D16" s="1"/>
      <c r="E16" s="1"/>
      <c r="F16" s="1"/>
      <c r="G16" s="1"/>
      <c r="H16" s="1"/>
      <c r="I16" s="1"/>
      <c r="J16" s="1"/>
      <c r="K16" s="1"/>
      <c r="L16" s="1"/>
      <c r="M16" s="1"/>
      <c r="N16" s="1"/>
      <c r="O16" s="1"/>
    </row>
    <row r="17" spans="1:15" x14ac:dyDescent="0.2">
      <c r="A17" s="1"/>
      <c r="B17" s="1"/>
      <c r="C17" s="1"/>
      <c r="D17" s="1"/>
      <c r="E17" s="1"/>
      <c r="F17" s="1"/>
      <c r="G17" s="1"/>
      <c r="H17" s="1"/>
      <c r="I17" s="1"/>
      <c r="J17" s="1"/>
      <c r="K17" s="1"/>
      <c r="L17" s="1"/>
      <c r="M17" s="1"/>
      <c r="N17" s="1"/>
      <c r="O17" s="1"/>
    </row>
    <row r="18" spans="1:15" x14ac:dyDescent="0.2">
      <c r="A18" s="1"/>
      <c r="B18" s="1"/>
      <c r="C18" s="1"/>
      <c r="D18" s="1"/>
      <c r="E18" s="1"/>
      <c r="F18" s="1"/>
      <c r="G18" s="1"/>
      <c r="H18" s="1"/>
      <c r="I18" s="1"/>
      <c r="J18" s="1"/>
      <c r="K18" s="1"/>
      <c r="L18" s="1"/>
      <c r="M18" s="1"/>
      <c r="N18" s="1"/>
      <c r="O18" s="1"/>
    </row>
    <row r="19" spans="1:15" x14ac:dyDescent="0.2">
      <c r="A19" s="1"/>
      <c r="B19" s="1"/>
      <c r="C19" s="1"/>
      <c r="D19" s="1"/>
      <c r="E19" s="1"/>
      <c r="F19" s="1"/>
      <c r="G19" s="1"/>
      <c r="H19" s="1"/>
      <c r="I19" s="1"/>
      <c r="J19" s="1"/>
      <c r="K19" s="1"/>
      <c r="L19" s="1"/>
      <c r="M19" s="1"/>
      <c r="N19" s="1"/>
      <c r="O19" s="1"/>
    </row>
    <row r="20" spans="1:15" x14ac:dyDescent="0.2">
      <c r="A20" s="1"/>
      <c r="B20" s="1"/>
      <c r="C20" s="1"/>
      <c r="D20" s="1"/>
      <c r="E20" s="1"/>
      <c r="F20" s="1"/>
      <c r="G20" s="1"/>
      <c r="H20" s="1"/>
      <c r="I20" s="1"/>
      <c r="J20" s="1"/>
      <c r="K20" s="1"/>
      <c r="L20" s="1"/>
      <c r="M20" s="1"/>
      <c r="N20" s="1"/>
      <c r="O20" s="1"/>
    </row>
    <row r="21" spans="1:15" x14ac:dyDescent="0.2">
      <c r="A21" s="1"/>
      <c r="B21" s="1"/>
      <c r="C21" s="1"/>
      <c r="D21" s="1"/>
      <c r="E21" s="1"/>
      <c r="F21" s="1"/>
      <c r="G21" s="1"/>
      <c r="H21" s="1"/>
      <c r="I21" s="1"/>
      <c r="J21" s="1"/>
      <c r="K21" s="1"/>
      <c r="L21" s="1"/>
      <c r="M21" s="1"/>
      <c r="N21" s="1"/>
      <c r="O21" s="1"/>
    </row>
    <row r="22" spans="1:15" x14ac:dyDescent="0.2">
      <c r="A22" s="1"/>
      <c r="B22" s="1"/>
      <c r="C22" s="1"/>
      <c r="D22" s="1"/>
      <c r="E22" s="1"/>
      <c r="F22" s="1"/>
      <c r="G22" s="1"/>
      <c r="H22" s="1"/>
      <c r="I22" s="1"/>
      <c r="J22" s="1"/>
      <c r="K22" s="1"/>
      <c r="L22" s="1"/>
      <c r="M22" s="1"/>
      <c r="N22" s="1"/>
      <c r="O22" s="1"/>
    </row>
    <row r="23" spans="1:15" x14ac:dyDescent="0.2">
      <c r="A23" s="1"/>
      <c r="B23" s="1"/>
      <c r="C23" s="1"/>
      <c r="D23" s="1"/>
      <c r="E23" s="1"/>
      <c r="F23" s="1"/>
      <c r="G23" s="1"/>
      <c r="H23" s="1"/>
      <c r="I23" s="1"/>
      <c r="J23" s="1"/>
      <c r="K23" s="1"/>
      <c r="L23" s="1"/>
      <c r="M23" s="1"/>
      <c r="N23" s="1"/>
      <c r="O23" s="1"/>
    </row>
    <row r="24" spans="1:15" x14ac:dyDescent="0.2">
      <c r="A24" s="1"/>
      <c r="B24" s="1"/>
      <c r="C24" s="1"/>
      <c r="D24" s="1"/>
      <c r="E24" s="1"/>
      <c r="F24" s="1"/>
      <c r="G24" s="1"/>
      <c r="H24" s="1"/>
      <c r="I24" s="1"/>
      <c r="J24" s="1"/>
      <c r="K24" s="1"/>
      <c r="L24" s="1"/>
      <c r="M24" s="1"/>
      <c r="N24" s="1"/>
      <c r="O24" s="1"/>
    </row>
    <row r="25" spans="1:15" x14ac:dyDescent="0.2">
      <c r="A25" s="1"/>
      <c r="B25" s="1"/>
      <c r="C25" s="1"/>
      <c r="D25" s="1"/>
      <c r="E25" s="1"/>
      <c r="F25" s="1"/>
      <c r="G25" s="1"/>
      <c r="H25" s="1"/>
      <c r="I25" s="1"/>
      <c r="J25" s="1"/>
      <c r="K25" s="1"/>
      <c r="L25" s="1"/>
      <c r="M25" s="1"/>
      <c r="N25" s="1"/>
      <c r="O25" s="1"/>
    </row>
    <row r="26" spans="1:15" x14ac:dyDescent="0.2">
      <c r="A26" s="1"/>
      <c r="B26" s="1"/>
      <c r="C26" s="1"/>
      <c r="D26" s="1"/>
      <c r="E26" s="1"/>
      <c r="F26" s="1"/>
      <c r="G26" s="1"/>
      <c r="H26" s="1"/>
      <c r="I26" s="1"/>
      <c r="J26" s="1"/>
      <c r="K26" s="1"/>
      <c r="L26" s="1"/>
      <c r="M26" s="1"/>
      <c r="N26" s="1"/>
      <c r="O26" s="1"/>
    </row>
    <row r="27" spans="1:15" x14ac:dyDescent="0.2">
      <c r="A27" s="1"/>
      <c r="B27" s="1"/>
      <c r="C27" s="1"/>
      <c r="D27" s="1"/>
      <c r="E27" s="1"/>
      <c r="F27" s="1"/>
      <c r="G27" s="1"/>
      <c r="H27" s="1"/>
      <c r="I27" s="1"/>
      <c r="J27" s="1"/>
      <c r="K27" s="1"/>
      <c r="L27" s="1"/>
      <c r="M27" s="1"/>
      <c r="N27" s="1"/>
      <c r="O27" s="1"/>
    </row>
    <row r="28" spans="1:15" x14ac:dyDescent="0.2">
      <c r="A28" s="1"/>
      <c r="B28" s="1"/>
      <c r="C28" s="1"/>
      <c r="D28" s="1"/>
      <c r="E28" s="1"/>
      <c r="F28" s="1"/>
      <c r="G28" s="1"/>
      <c r="H28" s="1"/>
      <c r="I28" s="1"/>
      <c r="J28" s="1"/>
      <c r="K28" s="1"/>
      <c r="L28" s="1"/>
      <c r="M28" s="1"/>
      <c r="N28" s="1"/>
      <c r="O28" s="1"/>
    </row>
  </sheetData>
  <mergeCells count="1">
    <mergeCell ref="A1:K8"/>
  </mergeCells>
  <printOptions horizontalCentered="1"/>
  <pageMargins left="0.70866141732283472" right="0.70866141732283472" top="1.7322834645669292"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898"/>
  <sheetViews>
    <sheetView view="pageBreakPreview" zoomScale="115" zoomScaleNormal="100" zoomScaleSheetLayoutView="115" workbookViewId="0">
      <pane ySplit="2" topLeftCell="A27" activePane="bottomLeft" state="frozen"/>
      <selection pane="bottomLeft" activeCell="L39" sqref="K39:L39"/>
    </sheetView>
  </sheetViews>
  <sheetFormatPr defaultColWidth="14.5" defaultRowHeight="12.75" x14ac:dyDescent="0.2"/>
  <cols>
    <col min="1" max="1" width="7.33203125" customWidth="1"/>
    <col min="2" max="2" width="22.83203125" customWidth="1"/>
    <col min="3" max="3" width="16" style="35" customWidth="1"/>
    <col min="4" max="4" width="15.1640625" style="35" customWidth="1"/>
    <col min="5" max="5" width="18.6640625" style="35" customWidth="1"/>
    <col min="6" max="6" width="15.33203125" style="35" customWidth="1"/>
    <col min="7" max="7" width="12" style="35" customWidth="1"/>
  </cols>
  <sheetData>
    <row r="1" spans="1:26" ht="28.5" customHeight="1" x14ac:dyDescent="0.2">
      <c r="A1" s="40" t="s">
        <v>410</v>
      </c>
      <c r="B1" s="41"/>
      <c r="C1" s="41"/>
      <c r="D1" s="41"/>
      <c r="E1" s="41"/>
      <c r="F1" s="41"/>
      <c r="G1" s="41"/>
      <c r="H1" s="18"/>
      <c r="I1" s="18"/>
      <c r="J1" s="18"/>
      <c r="K1" s="18"/>
      <c r="L1" s="18"/>
      <c r="M1" s="18"/>
      <c r="N1" s="18"/>
      <c r="O1" s="18"/>
      <c r="P1" s="18"/>
      <c r="Q1" s="18"/>
      <c r="R1" s="18"/>
      <c r="S1" s="18"/>
      <c r="T1" s="18"/>
      <c r="U1" s="18"/>
      <c r="V1" s="18"/>
      <c r="W1" s="18"/>
      <c r="X1" s="18"/>
      <c r="Y1" s="18"/>
      <c r="Z1" s="18"/>
    </row>
    <row r="2" spans="1:26" ht="51" customHeight="1" x14ac:dyDescent="0.2">
      <c r="A2" s="33" t="s">
        <v>323</v>
      </c>
      <c r="B2" s="15" t="s">
        <v>324</v>
      </c>
      <c r="C2" s="15" t="s">
        <v>325</v>
      </c>
      <c r="D2" s="15" t="s">
        <v>326</v>
      </c>
      <c r="E2" s="15" t="s">
        <v>327</v>
      </c>
      <c r="F2" s="15" t="s">
        <v>328</v>
      </c>
      <c r="G2" s="15" t="s">
        <v>329</v>
      </c>
      <c r="H2" s="18"/>
      <c r="I2" s="18"/>
      <c r="J2" s="18"/>
      <c r="K2" s="18"/>
      <c r="L2" s="18"/>
      <c r="M2" s="18"/>
      <c r="N2" s="18"/>
      <c r="O2" s="18"/>
      <c r="P2" s="18"/>
      <c r="Q2" s="18"/>
      <c r="R2" s="18"/>
      <c r="S2" s="18"/>
      <c r="T2" s="18"/>
      <c r="U2" s="18"/>
      <c r="V2" s="18"/>
      <c r="W2" s="18"/>
      <c r="X2" s="18"/>
      <c r="Y2" s="18"/>
      <c r="Z2" s="18"/>
    </row>
    <row r="3" spans="1:26" ht="30" customHeight="1" x14ac:dyDescent="0.2">
      <c r="A3" s="39" t="s">
        <v>331</v>
      </c>
      <c r="B3" s="39"/>
      <c r="C3" s="15"/>
      <c r="D3" s="15"/>
      <c r="E3" s="15"/>
      <c r="F3" s="15"/>
      <c r="G3" s="15"/>
      <c r="H3" s="18"/>
      <c r="I3" s="18"/>
      <c r="J3" s="18"/>
      <c r="K3" s="18"/>
      <c r="L3" s="18"/>
      <c r="M3" s="18"/>
      <c r="N3" s="18"/>
      <c r="O3" s="18"/>
      <c r="P3" s="18"/>
      <c r="Q3" s="18"/>
      <c r="R3" s="18"/>
      <c r="S3" s="18"/>
      <c r="T3" s="18"/>
      <c r="U3" s="18"/>
      <c r="V3" s="18"/>
      <c r="W3" s="18"/>
      <c r="X3" s="18"/>
      <c r="Y3" s="18"/>
      <c r="Z3" s="18"/>
    </row>
    <row r="4" spans="1:26" ht="15.75" x14ac:dyDescent="0.2">
      <c r="A4" s="19">
        <v>1</v>
      </c>
      <c r="B4" s="5" t="s">
        <v>332</v>
      </c>
      <c r="C4" s="17"/>
      <c r="D4" s="17">
        <v>1</v>
      </c>
      <c r="E4" s="17"/>
      <c r="F4" s="17"/>
      <c r="G4" s="17">
        <f>SUM(C4:F4)</f>
        <v>1</v>
      </c>
      <c r="H4" s="18"/>
      <c r="I4" s="18"/>
      <c r="J4" s="18"/>
      <c r="K4" s="18"/>
      <c r="L4" s="18"/>
      <c r="M4" s="18"/>
      <c r="N4" s="18"/>
      <c r="O4" s="18"/>
      <c r="P4" s="18"/>
      <c r="Q4" s="18"/>
      <c r="R4" s="18"/>
      <c r="S4" s="18"/>
      <c r="T4" s="18"/>
      <c r="U4" s="18"/>
      <c r="V4" s="18"/>
      <c r="W4" s="18"/>
      <c r="X4" s="18"/>
      <c r="Y4" s="18"/>
      <c r="Z4" s="18"/>
    </row>
    <row r="5" spans="1:26" ht="15.75" x14ac:dyDescent="0.2">
      <c r="A5" s="19">
        <v>2</v>
      </c>
      <c r="B5" s="20" t="s">
        <v>333</v>
      </c>
      <c r="C5" s="17"/>
      <c r="D5" s="17">
        <v>1</v>
      </c>
      <c r="E5" s="17"/>
      <c r="F5" s="17"/>
      <c r="G5" s="17">
        <f>SUM(C5:F5)</f>
        <v>1</v>
      </c>
      <c r="H5" s="18"/>
      <c r="I5" s="18"/>
      <c r="J5" s="18"/>
      <c r="K5" s="18"/>
      <c r="L5" s="18"/>
      <c r="M5" s="18"/>
      <c r="N5" s="18"/>
      <c r="O5" s="18"/>
      <c r="P5" s="18"/>
      <c r="Q5" s="18"/>
      <c r="R5" s="18"/>
      <c r="S5" s="18"/>
      <c r="T5" s="18"/>
      <c r="U5" s="18"/>
      <c r="V5" s="18"/>
      <c r="W5" s="18"/>
      <c r="X5" s="18"/>
      <c r="Y5" s="18"/>
      <c r="Z5" s="18"/>
    </row>
    <row r="6" spans="1:26" ht="15.75" x14ac:dyDescent="0.2">
      <c r="A6" s="19">
        <v>3</v>
      </c>
      <c r="B6" s="20" t="s">
        <v>334</v>
      </c>
      <c r="C6" s="17"/>
      <c r="D6" s="17"/>
      <c r="E6" s="17"/>
      <c r="F6" s="17"/>
      <c r="G6" s="17"/>
      <c r="H6" s="18"/>
      <c r="I6" s="18"/>
      <c r="J6" s="18"/>
      <c r="K6" s="18"/>
      <c r="L6" s="18"/>
      <c r="M6" s="18"/>
      <c r="N6" s="18"/>
      <c r="O6" s="18"/>
      <c r="P6" s="18"/>
      <c r="Q6" s="18"/>
      <c r="R6" s="18"/>
      <c r="S6" s="18"/>
      <c r="T6" s="18"/>
      <c r="U6" s="18"/>
      <c r="V6" s="18"/>
      <c r="W6" s="18"/>
      <c r="X6" s="18"/>
      <c r="Y6" s="18"/>
      <c r="Z6" s="18"/>
    </row>
    <row r="7" spans="1:26" ht="15.75" x14ac:dyDescent="0.2">
      <c r="A7" s="19">
        <v>4</v>
      </c>
      <c r="B7" s="20" t="s">
        <v>36</v>
      </c>
      <c r="C7" s="17"/>
      <c r="D7" s="17">
        <v>3</v>
      </c>
      <c r="E7" s="17"/>
      <c r="F7" s="17">
        <v>2</v>
      </c>
      <c r="G7" s="17">
        <f t="shared" ref="G7:G15" si="0">SUM(C7:F7)</f>
        <v>5</v>
      </c>
      <c r="H7" s="18"/>
      <c r="I7" s="18"/>
      <c r="J7" s="18"/>
      <c r="K7" s="18"/>
      <c r="L7" s="18"/>
      <c r="M7" s="18"/>
      <c r="N7" s="18"/>
      <c r="O7" s="18"/>
      <c r="P7" s="18"/>
      <c r="Q7" s="18"/>
      <c r="R7" s="18"/>
      <c r="S7" s="18"/>
      <c r="T7" s="18"/>
      <c r="U7" s="18"/>
      <c r="V7" s="18"/>
      <c r="W7" s="18"/>
      <c r="X7" s="18"/>
      <c r="Y7" s="18"/>
      <c r="Z7" s="18"/>
    </row>
    <row r="8" spans="1:26" ht="15.75" x14ac:dyDescent="0.2">
      <c r="A8" s="19">
        <v>5</v>
      </c>
      <c r="B8" s="20" t="s">
        <v>39</v>
      </c>
      <c r="C8" s="17">
        <v>1</v>
      </c>
      <c r="D8" s="17"/>
      <c r="E8" s="17"/>
      <c r="F8" s="17">
        <v>1</v>
      </c>
      <c r="G8" s="17">
        <f t="shared" si="0"/>
        <v>2</v>
      </c>
      <c r="H8" s="18"/>
      <c r="I8" s="18"/>
      <c r="J8" s="18"/>
      <c r="K8" s="18"/>
      <c r="L8" s="18"/>
      <c r="M8" s="18"/>
      <c r="N8" s="18"/>
      <c r="O8" s="18"/>
      <c r="P8" s="18"/>
      <c r="Q8" s="18"/>
      <c r="R8" s="18"/>
      <c r="S8" s="18"/>
      <c r="T8" s="18"/>
      <c r="U8" s="18"/>
      <c r="V8" s="18"/>
      <c r="W8" s="18"/>
      <c r="X8" s="18"/>
      <c r="Y8" s="18"/>
      <c r="Z8" s="18"/>
    </row>
    <row r="9" spans="1:26" ht="15.75" x14ac:dyDescent="0.2">
      <c r="A9" s="19">
        <v>6</v>
      </c>
      <c r="B9" s="20" t="s">
        <v>40</v>
      </c>
      <c r="C9" s="17"/>
      <c r="D9" s="17">
        <v>2</v>
      </c>
      <c r="E9" s="17"/>
      <c r="F9" s="17"/>
      <c r="G9" s="17">
        <f t="shared" si="0"/>
        <v>2</v>
      </c>
      <c r="H9" s="18"/>
      <c r="I9" s="18"/>
      <c r="J9" s="18"/>
      <c r="K9" s="18"/>
      <c r="L9" s="18"/>
      <c r="M9" s="18"/>
      <c r="N9" s="18"/>
      <c r="O9" s="18"/>
      <c r="P9" s="18"/>
      <c r="Q9" s="18"/>
      <c r="R9" s="18"/>
      <c r="S9" s="18"/>
      <c r="T9" s="18"/>
      <c r="U9" s="18"/>
      <c r="V9" s="18"/>
      <c r="W9" s="18"/>
      <c r="X9" s="18"/>
      <c r="Y9" s="18"/>
      <c r="Z9" s="18"/>
    </row>
    <row r="10" spans="1:26" ht="15.75" x14ac:dyDescent="0.2">
      <c r="A10" s="19">
        <v>7</v>
      </c>
      <c r="B10" s="20" t="s">
        <v>41</v>
      </c>
      <c r="C10" s="17"/>
      <c r="D10" s="17">
        <v>3</v>
      </c>
      <c r="E10" s="17"/>
      <c r="F10" s="17">
        <v>5</v>
      </c>
      <c r="G10" s="17">
        <f t="shared" si="0"/>
        <v>8</v>
      </c>
      <c r="H10" s="18"/>
      <c r="I10" s="18"/>
      <c r="J10" s="18"/>
      <c r="K10" s="18"/>
      <c r="L10" s="18"/>
      <c r="M10" s="18"/>
      <c r="N10" s="18"/>
      <c r="O10" s="18"/>
      <c r="P10" s="18"/>
      <c r="Q10" s="18"/>
      <c r="R10" s="18"/>
      <c r="S10" s="18"/>
      <c r="T10" s="18"/>
      <c r="U10" s="18"/>
      <c r="V10" s="18"/>
      <c r="W10" s="18"/>
      <c r="X10" s="18"/>
      <c r="Y10" s="18"/>
      <c r="Z10" s="18"/>
    </row>
    <row r="11" spans="1:26" ht="15.75" x14ac:dyDescent="0.25">
      <c r="A11" s="13">
        <v>8</v>
      </c>
      <c r="B11" s="14" t="s">
        <v>45</v>
      </c>
      <c r="C11" s="17"/>
      <c r="D11" s="17">
        <v>6</v>
      </c>
      <c r="E11" s="17"/>
      <c r="F11" s="17"/>
      <c r="G11" s="17">
        <f t="shared" si="0"/>
        <v>6</v>
      </c>
      <c r="H11" s="18"/>
      <c r="I11" s="18"/>
      <c r="J11" s="18"/>
      <c r="K11" s="18"/>
      <c r="L11" s="18"/>
      <c r="M11" s="18"/>
      <c r="N11" s="18"/>
      <c r="O11" s="18"/>
      <c r="P11" s="18"/>
      <c r="Q11" s="18"/>
      <c r="R11" s="18"/>
      <c r="S11" s="18"/>
      <c r="T11" s="18"/>
      <c r="U11" s="18"/>
      <c r="V11" s="18"/>
      <c r="W11" s="18"/>
      <c r="X11" s="18"/>
      <c r="Y11" s="18"/>
      <c r="Z11" s="18"/>
    </row>
    <row r="12" spans="1:26" ht="15.75" x14ac:dyDescent="0.2">
      <c r="A12" s="19">
        <v>9</v>
      </c>
      <c r="B12" s="20" t="s">
        <v>80</v>
      </c>
      <c r="C12" s="17"/>
      <c r="D12" s="17"/>
      <c r="E12" s="17"/>
      <c r="F12" s="17">
        <v>6</v>
      </c>
      <c r="G12" s="17">
        <f t="shared" si="0"/>
        <v>6</v>
      </c>
      <c r="H12" s="18"/>
      <c r="I12" s="18"/>
      <c r="J12" s="18"/>
      <c r="K12" s="18"/>
      <c r="L12" s="18"/>
      <c r="M12" s="18"/>
      <c r="N12" s="18"/>
      <c r="O12" s="18"/>
      <c r="P12" s="18"/>
      <c r="Q12" s="18"/>
      <c r="R12" s="18"/>
      <c r="S12" s="18"/>
      <c r="T12" s="18"/>
      <c r="U12" s="18"/>
      <c r="V12" s="18"/>
      <c r="W12" s="18"/>
      <c r="X12" s="18"/>
      <c r="Y12" s="18"/>
      <c r="Z12" s="18"/>
    </row>
    <row r="13" spans="1:26" ht="15.75" x14ac:dyDescent="0.2">
      <c r="A13" s="19">
        <v>10</v>
      </c>
      <c r="B13" s="20" t="s">
        <v>335</v>
      </c>
      <c r="C13" s="17">
        <v>1</v>
      </c>
      <c r="D13" s="17">
        <v>1</v>
      </c>
      <c r="E13" s="17"/>
      <c r="F13" s="17"/>
      <c r="G13" s="17">
        <f t="shared" si="0"/>
        <v>2</v>
      </c>
      <c r="H13" s="18"/>
      <c r="I13" s="18"/>
      <c r="K13" s="18"/>
      <c r="L13" s="18"/>
      <c r="M13" s="18"/>
      <c r="N13" s="18"/>
      <c r="O13" s="18"/>
      <c r="P13" s="18"/>
      <c r="Q13" s="18"/>
      <c r="R13" s="18"/>
      <c r="S13" s="18"/>
      <c r="T13" s="18"/>
      <c r="U13" s="18"/>
      <c r="V13" s="18"/>
      <c r="W13" s="18"/>
      <c r="X13" s="18"/>
      <c r="Y13" s="18"/>
      <c r="Z13" s="18"/>
    </row>
    <row r="14" spans="1:26" ht="31.5" x14ac:dyDescent="0.25">
      <c r="A14" s="19">
        <v>11</v>
      </c>
      <c r="B14" s="14" t="s">
        <v>49</v>
      </c>
      <c r="C14" s="17"/>
      <c r="D14" s="17">
        <v>1</v>
      </c>
      <c r="E14" s="17"/>
      <c r="F14" s="17"/>
      <c r="G14" s="17">
        <f t="shared" si="0"/>
        <v>1</v>
      </c>
      <c r="H14" s="18"/>
      <c r="I14" s="18"/>
      <c r="J14" s="18"/>
      <c r="K14" s="18"/>
      <c r="L14" s="18"/>
      <c r="M14" s="18"/>
      <c r="N14" s="18"/>
      <c r="O14" s="18"/>
      <c r="P14" s="18"/>
      <c r="Q14" s="18"/>
      <c r="R14" s="18"/>
      <c r="S14" s="18"/>
      <c r="T14" s="18"/>
      <c r="U14" s="18"/>
      <c r="V14" s="18"/>
      <c r="W14" s="18"/>
      <c r="X14" s="18"/>
      <c r="Y14" s="18"/>
      <c r="Z14" s="18"/>
    </row>
    <row r="15" spans="1:26" ht="15.75" x14ac:dyDescent="0.2">
      <c r="A15" s="19">
        <v>13</v>
      </c>
      <c r="B15" s="20" t="s">
        <v>52</v>
      </c>
      <c r="C15" s="17">
        <v>1</v>
      </c>
      <c r="D15" s="17"/>
      <c r="E15" s="17">
        <v>1</v>
      </c>
      <c r="F15" s="17">
        <v>1</v>
      </c>
      <c r="G15" s="17">
        <f t="shared" si="0"/>
        <v>3</v>
      </c>
      <c r="H15" s="18"/>
      <c r="I15" s="18"/>
      <c r="J15" s="18"/>
      <c r="K15" s="18"/>
      <c r="L15" s="18"/>
      <c r="M15" s="18"/>
      <c r="N15" s="18"/>
      <c r="O15" s="18"/>
      <c r="P15" s="18"/>
      <c r="Q15" s="18"/>
      <c r="R15" s="18"/>
      <c r="S15" s="18"/>
      <c r="T15" s="18"/>
      <c r="U15" s="18"/>
      <c r="V15" s="18"/>
      <c r="W15" s="18"/>
      <c r="X15" s="18"/>
      <c r="Y15" s="18"/>
      <c r="Z15" s="18"/>
    </row>
    <row r="16" spans="1:26" ht="15.75" x14ac:dyDescent="0.25">
      <c r="A16" s="13">
        <v>12</v>
      </c>
      <c r="B16" s="14" t="s">
        <v>50</v>
      </c>
      <c r="C16" s="17"/>
      <c r="D16" s="17"/>
      <c r="E16" s="17"/>
      <c r="F16" s="17"/>
      <c r="G16" s="17"/>
      <c r="H16" s="18"/>
      <c r="I16" s="18"/>
      <c r="J16" s="18"/>
      <c r="K16" s="18"/>
      <c r="L16" s="18"/>
      <c r="M16" s="18"/>
      <c r="N16" s="18"/>
      <c r="O16" s="18"/>
      <c r="P16" s="18"/>
      <c r="Q16" s="18"/>
      <c r="R16" s="18"/>
      <c r="S16" s="18"/>
      <c r="T16" s="18"/>
      <c r="U16" s="18"/>
      <c r="V16" s="18"/>
      <c r="W16" s="18"/>
      <c r="X16" s="18"/>
      <c r="Y16" s="18"/>
      <c r="Z16" s="18"/>
    </row>
    <row r="17" spans="1:26" ht="15.75" x14ac:dyDescent="0.2">
      <c r="A17" s="19">
        <v>14</v>
      </c>
      <c r="B17" s="20" t="s">
        <v>51</v>
      </c>
      <c r="C17" s="17"/>
      <c r="D17" s="17"/>
      <c r="E17" s="17"/>
      <c r="F17" s="17"/>
      <c r="G17" s="17"/>
      <c r="H17" s="18"/>
      <c r="I17" s="18"/>
      <c r="J17" s="18"/>
      <c r="K17" s="18"/>
      <c r="L17" s="18"/>
      <c r="M17" s="18"/>
      <c r="N17" s="18"/>
      <c r="O17" s="18"/>
      <c r="P17" s="18"/>
      <c r="Q17" s="18"/>
      <c r="R17" s="18"/>
      <c r="S17" s="18"/>
      <c r="T17" s="18"/>
      <c r="U17" s="18"/>
      <c r="V17" s="18"/>
      <c r="W17" s="18"/>
      <c r="X17" s="18"/>
      <c r="Y17" s="18"/>
      <c r="Z17" s="18"/>
    </row>
    <row r="18" spans="1:26" ht="18" x14ac:dyDescent="0.2">
      <c r="A18" s="39" t="s">
        <v>330</v>
      </c>
      <c r="B18" s="39"/>
      <c r="C18" s="15">
        <f>SUM(C4:C17)</f>
        <v>3</v>
      </c>
      <c r="D18" s="15">
        <f>SUM(D4:D17)</f>
        <v>18</v>
      </c>
      <c r="E18" s="15">
        <f>SUM(E4:E17)</f>
        <v>1</v>
      </c>
      <c r="F18" s="15">
        <f>SUM(F4:F17)</f>
        <v>15</v>
      </c>
      <c r="G18" s="15">
        <f>SUM(C18:F18)</f>
        <v>37</v>
      </c>
      <c r="H18" s="18"/>
      <c r="I18" s="18"/>
      <c r="J18" s="18"/>
      <c r="K18" s="18"/>
      <c r="L18" s="18"/>
      <c r="M18" s="18"/>
      <c r="N18" s="18"/>
      <c r="O18" s="18"/>
      <c r="P18" s="18"/>
      <c r="Q18" s="18"/>
      <c r="R18" s="18"/>
      <c r="S18" s="18"/>
      <c r="T18" s="18"/>
      <c r="U18" s="18"/>
      <c r="V18" s="18"/>
      <c r="W18" s="18"/>
      <c r="X18" s="18"/>
      <c r="Y18" s="18"/>
      <c r="Z18" s="18"/>
    </row>
    <row r="19" spans="1:26" ht="35.25" customHeight="1" x14ac:dyDescent="0.2">
      <c r="A19" s="39" t="s">
        <v>336</v>
      </c>
      <c r="B19" s="39"/>
      <c r="C19" s="15"/>
      <c r="D19" s="15"/>
      <c r="E19" s="15"/>
      <c r="F19" s="15"/>
      <c r="G19" s="15"/>
      <c r="H19" s="18"/>
      <c r="I19" s="18"/>
      <c r="J19" s="18"/>
      <c r="K19" s="18"/>
      <c r="L19" s="18"/>
      <c r="M19" s="18"/>
      <c r="N19" s="18"/>
      <c r="O19" s="18"/>
      <c r="P19" s="18"/>
      <c r="Q19" s="18"/>
      <c r="R19" s="18"/>
      <c r="S19" s="18"/>
      <c r="T19" s="18"/>
      <c r="U19" s="18"/>
      <c r="V19" s="18"/>
      <c r="W19" s="18"/>
      <c r="X19" s="18"/>
      <c r="Y19" s="18"/>
      <c r="Z19" s="18"/>
    </row>
    <row r="20" spans="1:26" ht="15.75" x14ac:dyDescent="0.2">
      <c r="A20" s="19">
        <v>15</v>
      </c>
      <c r="B20" s="20" t="s">
        <v>129</v>
      </c>
      <c r="C20" s="17"/>
      <c r="D20" s="17">
        <v>1</v>
      </c>
      <c r="E20" s="17"/>
      <c r="F20" s="17">
        <v>1</v>
      </c>
      <c r="G20" s="17">
        <f t="shared" ref="G20:G28" si="1">SUM(C20:F20)</f>
        <v>2</v>
      </c>
      <c r="H20" s="18"/>
      <c r="I20" s="18"/>
      <c r="J20" s="18"/>
      <c r="K20" s="18"/>
      <c r="L20" s="18"/>
      <c r="M20" s="18"/>
      <c r="N20" s="18"/>
      <c r="O20" s="18"/>
      <c r="P20" s="18"/>
      <c r="Q20" s="18"/>
      <c r="R20" s="18"/>
      <c r="S20" s="18"/>
      <c r="T20" s="18"/>
      <c r="U20" s="18"/>
      <c r="V20" s="18"/>
      <c r="W20" s="18"/>
      <c r="X20" s="18"/>
      <c r="Y20" s="18"/>
      <c r="Z20" s="18"/>
    </row>
    <row r="21" spans="1:26" ht="15.75" x14ac:dyDescent="0.2">
      <c r="A21" s="19">
        <v>16</v>
      </c>
      <c r="B21" s="20" t="s">
        <v>135</v>
      </c>
      <c r="C21" s="17">
        <v>1</v>
      </c>
      <c r="D21" s="17">
        <v>9</v>
      </c>
      <c r="E21" s="17">
        <v>1</v>
      </c>
      <c r="F21" s="17"/>
      <c r="G21" s="17">
        <f t="shared" si="1"/>
        <v>11</v>
      </c>
      <c r="H21" s="18"/>
      <c r="I21" s="18"/>
      <c r="J21" s="18"/>
      <c r="K21" s="18"/>
      <c r="L21" s="18"/>
      <c r="M21" s="18"/>
      <c r="N21" s="18"/>
      <c r="O21" s="18"/>
      <c r="P21" s="18"/>
      <c r="Q21" s="18"/>
      <c r="R21" s="18"/>
      <c r="S21" s="18"/>
      <c r="T21" s="18"/>
      <c r="U21" s="18"/>
      <c r="V21" s="18"/>
      <c r="W21" s="18"/>
      <c r="X21" s="18"/>
      <c r="Y21" s="18"/>
      <c r="Z21" s="18"/>
    </row>
    <row r="22" spans="1:26" ht="15.75" x14ac:dyDescent="0.2">
      <c r="A22" s="19">
        <v>17</v>
      </c>
      <c r="B22" s="20" t="s">
        <v>337</v>
      </c>
      <c r="C22" s="17"/>
      <c r="D22" s="17"/>
      <c r="E22" s="17"/>
      <c r="F22" s="17">
        <v>1</v>
      </c>
      <c r="G22" s="17">
        <f t="shared" si="1"/>
        <v>1</v>
      </c>
      <c r="H22" s="18"/>
      <c r="I22" s="18"/>
      <c r="J22" s="18"/>
      <c r="K22" s="18"/>
      <c r="L22" s="18"/>
      <c r="M22" s="18"/>
      <c r="N22" s="18"/>
      <c r="O22" s="18"/>
      <c r="P22" s="18"/>
      <c r="Q22" s="18"/>
      <c r="R22" s="18"/>
      <c r="S22" s="18"/>
      <c r="T22" s="18"/>
      <c r="U22" s="18"/>
      <c r="V22" s="18"/>
      <c r="W22" s="18"/>
      <c r="X22" s="18"/>
      <c r="Y22" s="18"/>
      <c r="Z22" s="18"/>
    </row>
    <row r="23" spans="1:26" ht="15.75" x14ac:dyDescent="0.2">
      <c r="A23" s="19">
        <v>18</v>
      </c>
      <c r="B23" s="20" t="s">
        <v>338</v>
      </c>
      <c r="C23" s="17">
        <v>1</v>
      </c>
      <c r="D23" s="17"/>
      <c r="E23" s="17"/>
      <c r="F23" s="17">
        <v>1</v>
      </c>
      <c r="G23" s="17">
        <f t="shared" si="1"/>
        <v>2</v>
      </c>
      <c r="H23" s="18"/>
      <c r="I23" s="18"/>
      <c r="J23" s="18"/>
      <c r="K23" s="18"/>
      <c r="L23" s="18"/>
      <c r="M23" s="18"/>
      <c r="N23" s="18"/>
      <c r="O23" s="18"/>
      <c r="P23" s="18"/>
      <c r="Q23" s="18"/>
      <c r="R23" s="18"/>
      <c r="S23" s="18"/>
      <c r="T23" s="18"/>
      <c r="U23" s="18"/>
      <c r="V23" s="18"/>
      <c r="W23" s="18"/>
      <c r="X23" s="18"/>
      <c r="Y23" s="18"/>
      <c r="Z23" s="18"/>
    </row>
    <row r="24" spans="1:26" ht="15.75" x14ac:dyDescent="0.25">
      <c r="A24" s="13">
        <v>19</v>
      </c>
      <c r="B24" s="14" t="s">
        <v>339</v>
      </c>
      <c r="C24" s="17"/>
      <c r="D24" s="17">
        <v>3</v>
      </c>
      <c r="E24" s="17">
        <v>1</v>
      </c>
      <c r="F24" s="17"/>
      <c r="G24" s="17">
        <f t="shared" si="1"/>
        <v>4</v>
      </c>
      <c r="H24" s="18"/>
      <c r="I24" s="18"/>
      <c r="J24" s="18"/>
      <c r="K24" s="18"/>
      <c r="L24" s="18"/>
      <c r="M24" s="18"/>
      <c r="N24" s="18"/>
      <c r="O24" s="18"/>
      <c r="P24" s="18"/>
      <c r="Q24" s="18"/>
      <c r="R24" s="18"/>
      <c r="S24" s="18"/>
      <c r="T24" s="18"/>
      <c r="U24" s="18"/>
      <c r="V24" s="18"/>
      <c r="W24" s="18"/>
      <c r="X24" s="18"/>
      <c r="Y24" s="18"/>
      <c r="Z24" s="18"/>
    </row>
    <row r="25" spans="1:26" ht="15.75" x14ac:dyDescent="0.2">
      <c r="A25" s="19">
        <v>20</v>
      </c>
      <c r="B25" s="20" t="s">
        <v>176</v>
      </c>
      <c r="C25" s="17"/>
      <c r="D25" s="17">
        <v>4</v>
      </c>
      <c r="E25" s="17"/>
      <c r="F25" s="17"/>
      <c r="G25" s="17">
        <f t="shared" si="1"/>
        <v>4</v>
      </c>
      <c r="H25" s="18"/>
      <c r="I25" s="18"/>
      <c r="J25" s="18"/>
      <c r="K25" s="18"/>
      <c r="L25" s="18"/>
      <c r="M25" s="18"/>
      <c r="N25" s="18"/>
      <c r="O25" s="18"/>
      <c r="P25" s="18"/>
      <c r="Q25" s="18"/>
      <c r="R25" s="18"/>
      <c r="S25" s="18"/>
      <c r="T25" s="18"/>
      <c r="U25" s="18"/>
      <c r="V25" s="18"/>
      <c r="W25" s="18"/>
      <c r="X25" s="18"/>
      <c r="Y25" s="18"/>
      <c r="Z25" s="18"/>
    </row>
    <row r="26" spans="1:26" ht="15.75" x14ac:dyDescent="0.2">
      <c r="A26" s="19">
        <v>21</v>
      </c>
      <c r="B26" s="20" t="s">
        <v>182</v>
      </c>
      <c r="C26" s="17"/>
      <c r="D26" s="17">
        <v>1</v>
      </c>
      <c r="E26" s="17"/>
      <c r="F26" s="17">
        <v>2</v>
      </c>
      <c r="G26" s="17">
        <f t="shared" si="1"/>
        <v>3</v>
      </c>
      <c r="H26" s="18"/>
      <c r="I26" s="18"/>
      <c r="J26" s="18"/>
      <c r="K26" s="18"/>
      <c r="L26" s="18"/>
      <c r="M26" s="18"/>
      <c r="N26" s="18"/>
      <c r="O26" s="18"/>
      <c r="P26" s="18"/>
      <c r="Q26" s="18"/>
      <c r="R26" s="18"/>
      <c r="S26" s="18"/>
      <c r="T26" s="18"/>
      <c r="U26" s="18"/>
      <c r="V26" s="18"/>
      <c r="W26" s="18"/>
      <c r="X26" s="18"/>
      <c r="Y26" s="18"/>
      <c r="Z26" s="18"/>
    </row>
    <row r="27" spans="1:26" ht="15.75" x14ac:dyDescent="0.2">
      <c r="A27" s="19">
        <v>22</v>
      </c>
      <c r="B27" s="20" t="s">
        <v>187</v>
      </c>
      <c r="C27" s="17">
        <v>1</v>
      </c>
      <c r="D27" s="17">
        <v>4</v>
      </c>
      <c r="E27" s="17">
        <v>2</v>
      </c>
      <c r="F27" s="17">
        <v>3</v>
      </c>
      <c r="G27" s="17">
        <f t="shared" si="1"/>
        <v>10</v>
      </c>
      <c r="H27" s="18"/>
      <c r="I27" s="18"/>
      <c r="J27" s="18"/>
      <c r="K27" s="18"/>
      <c r="L27" s="18"/>
      <c r="M27" s="18"/>
      <c r="N27" s="18"/>
      <c r="O27" s="18"/>
      <c r="P27" s="18"/>
      <c r="Q27" s="18"/>
      <c r="R27" s="18"/>
      <c r="S27" s="18"/>
      <c r="T27" s="18"/>
      <c r="U27" s="18"/>
      <c r="V27" s="18"/>
      <c r="W27" s="18"/>
      <c r="X27" s="18"/>
      <c r="Y27" s="18"/>
      <c r="Z27" s="18"/>
    </row>
    <row r="28" spans="1:26" ht="18" x14ac:dyDescent="0.2">
      <c r="A28" s="39" t="s">
        <v>330</v>
      </c>
      <c r="B28" s="39"/>
      <c r="C28" s="15">
        <f>SUM(C20:C27)</f>
        <v>3</v>
      </c>
      <c r="D28" s="15">
        <f>SUM(D20:D27)</f>
        <v>22</v>
      </c>
      <c r="E28" s="15">
        <f>SUM(E20:E27)</f>
        <v>4</v>
      </c>
      <c r="F28" s="15">
        <f>SUM(F20:F27)</f>
        <v>8</v>
      </c>
      <c r="G28" s="15">
        <f t="shared" si="1"/>
        <v>37</v>
      </c>
      <c r="H28" s="18"/>
      <c r="I28" s="18"/>
      <c r="J28" s="18"/>
      <c r="K28" s="18"/>
      <c r="L28" s="18"/>
      <c r="M28" s="18"/>
      <c r="N28" s="18"/>
      <c r="O28" s="18"/>
      <c r="P28" s="18"/>
      <c r="Q28" s="18"/>
      <c r="R28" s="18"/>
      <c r="S28" s="18"/>
      <c r="T28" s="18"/>
      <c r="U28" s="18"/>
      <c r="V28" s="18"/>
      <c r="W28" s="18"/>
      <c r="X28" s="18"/>
      <c r="Y28" s="18"/>
      <c r="Z28" s="18"/>
    </row>
    <row r="29" spans="1:26" ht="18" x14ac:dyDescent="0.25">
      <c r="A29" s="42" t="s">
        <v>340</v>
      </c>
      <c r="B29" s="42"/>
      <c r="C29" s="15"/>
      <c r="D29" s="15"/>
      <c r="E29" s="15"/>
      <c r="F29" s="15"/>
      <c r="G29" s="15"/>
      <c r="H29" s="18"/>
      <c r="I29" s="18"/>
      <c r="J29" s="18"/>
      <c r="K29" s="18"/>
      <c r="L29" s="18"/>
      <c r="M29" s="18"/>
      <c r="N29" s="18"/>
      <c r="O29" s="18"/>
      <c r="P29" s="18"/>
      <c r="Q29" s="18"/>
      <c r="R29" s="18"/>
      <c r="S29" s="18"/>
      <c r="T29" s="18"/>
      <c r="U29" s="18"/>
      <c r="V29" s="18"/>
      <c r="W29" s="18"/>
      <c r="X29" s="18"/>
      <c r="Y29" s="18"/>
      <c r="Z29" s="18"/>
    </row>
    <row r="30" spans="1:26" ht="15.75" x14ac:dyDescent="0.2">
      <c r="A30" s="19">
        <v>23</v>
      </c>
      <c r="B30" s="20" t="s">
        <v>341</v>
      </c>
      <c r="C30" s="17"/>
      <c r="D30" s="17"/>
      <c r="E30" s="17"/>
      <c r="F30" s="17"/>
      <c r="G30" s="17"/>
      <c r="H30" s="18"/>
      <c r="I30" s="18"/>
      <c r="J30" s="18"/>
      <c r="K30" s="18"/>
      <c r="L30" s="18"/>
      <c r="M30" s="18"/>
      <c r="N30" s="18"/>
      <c r="O30" s="18"/>
      <c r="P30" s="18"/>
      <c r="Q30" s="18"/>
      <c r="R30" s="18"/>
      <c r="S30" s="18"/>
      <c r="T30" s="18"/>
      <c r="U30" s="18"/>
      <c r="V30" s="18"/>
      <c r="W30" s="18"/>
      <c r="X30" s="18"/>
      <c r="Y30" s="18"/>
      <c r="Z30" s="18"/>
    </row>
    <row r="31" spans="1:26" ht="15.75" x14ac:dyDescent="0.25">
      <c r="A31" s="13">
        <v>24</v>
      </c>
      <c r="B31" s="14" t="s">
        <v>237</v>
      </c>
      <c r="C31" s="17"/>
      <c r="D31" s="17"/>
      <c r="E31" s="17"/>
      <c r="F31" s="17">
        <v>1</v>
      </c>
      <c r="G31" s="17">
        <f>SUM(F31)</f>
        <v>1</v>
      </c>
      <c r="H31" s="18"/>
      <c r="I31" s="18"/>
      <c r="J31" s="18"/>
      <c r="K31" s="18"/>
      <c r="L31" s="18"/>
      <c r="M31" s="18"/>
      <c r="N31" s="18"/>
      <c r="O31" s="18"/>
      <c r="P31" s="18"/>
      <c r="Q31" s="18"/>
      <c r="R31" s="18"/>
      <c r="S31" s="18"/>
      <c r="T31" s="18"/>
      <c r="U31" s="18"/>
      <c r="V31" s="18"/>
      <c r="W31" s="18"/>
      <c r="X31" s="18"/>
      <c r="Y31" s="18"/>
      <c r="Z31" s="18"/>
    </row>
    <row r="32" spans="1:26" ht="15.75" x14ac:dyDescent="0.25">
      <c r="A32" s="13">
        <v>25</v>
      </c>
      <c r="B32" s="14" t="s">
        <v>342</v>
      </c>
      <c r="C32" s="17"/>
      <c r="D32" s="17"/>
      <c r="E32" s="17"/>
      <c r="F32" s="17"/>
      <c r="G32" s="17"/>
      <c r="H32" s="18"/>
      <c r="I32" s="18"/>
      <c r="J32" s="18"/>
      <c r="K32" s="18"/>
      <c r="L32" s="18"/>
      <c r="M32" s="18"/>
      <c r="N32" s="18"/>
      <c r="O32" s="18"/>
      <c r="P32" s="18"/>
      <c r="Q32" s="18"/>
      <c r="R32" s="18"/>
      <c r="S32" s="18"/>
      <c r="T32" s="18"/>
      <c r="U32" s="18"/>
      <c r="V32" s="18"/>
      <c r="W32" s="18"/>
      <c r="X32" s="18"/>
      <c r="Y32" s="18"/>
      <c r="Z32" s="18"/>
    </row>
    <row r="33" spans="1:26" ht="15.75" x14ac:dyDescent="0.2">
      <c r="A33" s="19">
        <v>26</v>
      </c>
      <c r="B33" s="20" t="s">
        <v>240</v>
      </c>
      <c r="C33" s="17"/>
      <c r="D33" s="17"/>
      <c r="E33" s="17"/>
      <c r="F33" s="17">
        <v>3</v>
      </c>
      <c r="G33" s="17">
        <f>SUM(F33)</f>
        <v>3</v>
      </c>
      <c r="H33" s="18"/>
      <c r="I33" s="18"/>
      <c r="J33" s="18"/>
      <c r="K33" s="18"/>
      <c r="L33" s="18"/>
      <c r="M33" s="18"/>
      <c r="N33" s="18"/>
      <c r="O33" s="18"/>
      <c r="P33" s="18"/>
      <c r="Q33" s="18"/>
      <c r="R33" s="18"/>
      <c r="S33" s="18"/>
      <c r="T33" s="18"/>
      <c r="U33" s="18"/>
      <c r="V33" s="18"/>
      <c r="W33" s="18"/>
      <c r="X33" s="18"/>
      <c r="Y33" s="18"/>
      <c r="Z33" s="18"/>
    </row>
    <row r="34" spans="1:26" ht="15.75" x14ac:dyDescent="0.2">
      <c r="A34" s="19">
        <v>27</v>
      </c>
      <c r="B34" s="20" t="s">
        <v>343</v>
      </c>
      <c r="C34" s="17"/>
      <c r="D34" s="17"/>
      <c r="E34" s="17"/>
      <c r="F34" s="17">
        <v>1</v>
      </c>
      <c r="G34" s="17">
        <f>SUM(F34)</f>
        <v>1</v>
      </c>
      <c r="H34" s="18"/>
      <c r="I34" s="18"/>
      <c r="J34" s="18"/>
      <c r="K34" s="18"/>
      <c r="L34" s="18"/>
      <c r="M34" s="18"/>
      <c r="N34" s="18"/>
      <c r="O34" s="18"/>
      <c r="P34" s="18"/>
      <c r="Q34" s="18"/>
      <c r="R34" s="18"/>
      <c r="S34" s="18"/>
      <c r="T34" s="18"/>
      <c r="U34" s="18"/>
      <c r="V34" s="18"/>
      <c r="W34" s="18"/>
      <c r="X34" s="18"/>
      <c r="Y34" s="18"/>
      <c r="Z34" s="18"/>
    </row>
    <row r="35" spans="1:26" ht="18" x14ac:dyDescent="0.25">
      <c r="A35" s="42" t="s">
        <v>330</v>
      </c>
      <c r="B35" s="42"/>
      <c r="C35" s="15"/>
      <c r="D35" s="15"/>
      <c r="E35" s="15"/>
      <c r="F35" s="15">
        <f>SUM(F31:F34)</f>
        <v>5</v>
      </c>
      <c r="G35" s="17">
        <f>SUM(F35)</f>
        <v>5</v>
      </c>
      <c r="H35" s="18"/>
      <c r="I35" s="18"/>
      <c r="J35" s="18"/>
      <c r="K35" s="18"/>
      <c r="L35" s="18"/>
      <c r="M35" s="18"/>
      <c r="N35" s="18"/>
      <c r="O35" s="18"/>
      <c r="P35" s="18"/>
      <c r="Q35" s="18"/>
      <c r="R35" s="18"/>
      <c r="S35" s="18"/>
      <c r="T35" s="18"/>
      <c r="U35" s="18"/>
      <c r="V35" s="18"/>
      <c r="W35" s="18"/>
      <c r="X35" s="18"/>
      <c r="Y35" s="18"/>
      <c r="Z35" s="18"/>
    </row>
    <row r="36" spans="1:26" ht="33.75" customHeight="1" x14ac:dyDescent="0.25">
      <c r="A36" s="43" t="s">
        <v>344</v>
      </c>
      <c r="B36" s="44"/>
      <c r="C36" s="15"/>
      <c r="D36" s="15"/>
      <c r="E36" s="15"/>
      <c r="F36" s="15"/>
      <c r="G36" s="15"/>
      <c r="H36" s="18"/>
      <c r="I36" s="18"/>
      <c r="J36" s="18"/>
      <c r="K36" s="18"/>
      <c r="L36" s="18"/>
      <c r="M36" s="18"/>
      <c r="N36" s="18"/>
      <c r="O36" s="18"/>
      <c r="P36" s="18"/>
      <c r="Q36" s="18"/>
      <c r="R36" s="18"/>
      <c r="S36" s="18"/>
      <c r="T36" s="18"/>
      <c r="U36" s="18"/>
      <c r="V36" s="18"/>
      <c r="W36" s="18"/>
      <c r="X36" s="18"/>
      <c r="Y36" s="18"/>
      <c r="Z36" s="18"/>
    </row>
    <row r="37" spans="1:26" ht="15.75" x14ac:dyDescent="0.2">
      <c r="A37" s="19">
        <v>28</v>
      </c>
      <c r="B37" s="20" t="s">
        <v>244</v>
      </c>
      <c r="C37" s="17"/>
      <c r="D37" s="17"/>
      <c r="E37" s="17"/>
      <c r="F37" s="17">
        <v>2</v>
      </c>
      <c r="G37" s="17">
        <f t="shared" ref="G37:G44" si="2">SUM(D37:F37)</f>
        <v>2</v>
      </c>
      <c r="H37" s="18"/>
      <c r="I37" s="18"/>
      <c r="J37" s="18"/>
      <c r="K37" s="18"/>
      <c r="L37" s="18"/>
      <c r="M37" s="18"/>
      <c r="N37" s="18"/>
      <c r="O37" s="18"/>
      <c r="P37" s="18"/>
      <c r="Q37" s="18"/>
      <c r="R37" s="18"/>
      <c r="S37" s="18"/>
      <c r="T37" s="18"/>
      <c r="U37" s="18"/>
      <c r="V37" s="18"/>
      <c r="W37" s="18"/>
      <c r="X37" s="18"/>
      <c r="Y37" s="18"/>
      <c r="Z37" s="18"/>
    </row>
    <row r="38" spans="1:26" ht="15.75" x14ac:dyDescent="0.2">
      <c r="A38" s="19">
        <v>29</v>
      </c>
      <c r="B38" s="20" t="s">
        <v>272</v>
      </c>
      <c r="C38" s="17"/>
      <c r="D38" s="17"/>
      <c r="E38" s="17"/>
      <c r="F38" s="17">
        <v>4</v>
      </c>
      <c r="G38" s="17">
        <f t="shared" si="2"/>
        <v>4</v>
      </c>
      <c r="H38" s="18"/>
      <c r="I38" s="18"/>
      <c r="J38" s="18"/>
      <c r="K38" s="18"/>
      <c r="L38" s="18"/>
      <c r="M38" s="18"/>
      <c r="N38" s="18"/>
      <c r="O38" s="18"/>
      <c r="P38" s="18"/>
      <c r="Q38" s="18"/>
      <c r="R38" s="18"/>
      <c r="S38" s="18"/>
      <c r="T38" s="18"/>
      <c r="U38" s="18"/>
      <c r="V38" s="18"/>
      <c r="W38" s="18"/>
      <c r="X38" s="18"/>
      <c r="Y38" s="18"/>
      <c r="Z38" s="18"/>
    </row>
    <row r="39" spans="1:26" ht="15.75" x14ac:dyDescent="0.25">
      <c r="A39" s="13">
        <v>30</v>
      </c>
      <c r="B39" s="14" t="s">
        <v>266</v>
      </c>
      <c r="C39" s="17"/>
      <c r="D39" s="17"/>
      <c r="E39" s="17"/>
      <c r="F39" s="17">
        <v>1</v>
      </c>
      <c r="G39" s="17">
        <f t="shared" si="2"/>
        <v>1</v>
      </c>
      <c r="H39" s="18"/>
      <c r="I39" s="18"/>
      <c r="J39" s="18"/>
      <c r="K39" s="18"/>
      <c r="L39" s="18"/>
      <c r="M39" s="18"/>
      <c r="N39" s="18"/>
      <c r="O39" s="18"/>
      <c r="P39" s="18"/>
      <c r="Q39" s="18"/>
      <c r="R39" s="18"/>
      <c r="S39" s="18"/>
      <c r="T39" s="18"/>
      <c r="U39" s="18"/>
      <c r="V39" s="18"/>
      <c r="W39" s="18"/>
      <c r="X39" s="18"/>
      <c r="Y39" s="18"/>
      <c r="Z39" s="18"/>
    </row>
    <row r="40" spans="1:26" ht="15.75" x14ac:dyDescent="0.25">
      <c r="A40" s="13">
        <v>31</v>
      </c>
      <c r="B40" s="14" t="s">
        <v>289</v>
      </c>
      <c r="C40" s="17"/>
      <c r="D40" s="17"/>
      <c r="E40" s="17"/>
      <c r="F40" s="17">
        <v>2</v>
      </c>
      <c r="G40" s="17">
        <f t="shared" si="2"/>
        <v>2</v>
      </c>
      <c r="H40" s="18"/>
      <c r="I40" s="18"/>
      <c r="J40" s="18"/>
      <c r="K40" s="18"/>
      <c r="L40" s="18"/>
      <c r="M40" s="18"/>
      <c r="N40" s="18"/>
      <c r="O40" s="18"/>
      <c r="P40" s="18"/>
      <c r="Q40" s="18"/>
      <c r="R40" s="18"/>
      <c r="S40" s="18"/>
      <c r="T40" s="18"/>
      <c r="U40" s="18"/>
      <c r="V40" s="18"/>
      <c r="W40" s="18"/>
      <c r="X40" s="18"/>
      <c r="Y40" s="18"/>
      <c r="Z40" s="18"/>
    </row>
    <row r="41" spans="1:26" ht="15.75" x14ac:dyDescent="0.2">
      <c r="A41" s="19">
        <v>32</v>
      </c>
      <c r="B41" s="20" t="s">
        <v>249</v>
      </c>
      <c r="C41" s="17"/>
      <c r="D41" s="17">
        <v>1</v>
      </c>
      <c r="E41" s="17"/>
      <c r="F41" s="17">
        <v>6</v>
      </c>
      <c r="G41" s="17">
        <f t="shared" si="2"/>
        <v>7</v>
      </c>
      <c r="H41" s="18"/>
      <c r="I41" s="18"/>
      <c r="J41" s="18"/>
      <c r="K41" s="18"/>
      <c r="L41" s="18"/>
      <c r="M41" s="18"/>
      <c r="N41" s="18"/>
      <c r="O41" s="18"/>
      <c r="P41" s="18"/>
      <c r="Q41" s="18"/>
      <c r="R41" s="18"/>
      <c r="S41" s="18"/>
      <c r="T41" s="18"/>
      <c r="U41" s="18"/>
      <c r="V41" s="18"/>
      <c r="W41" s="18"/>
      <c r="X41" s="18"/>
      <c r="Y41" s="18"/>
      <c r="Z41" s="18"/>
    </row>
    <row r="42" spans="1:26" ht="15.75" x14ac:dyDescent="0.25">
      <c r="A42" s="13">
        <v>33</v>
      </c>
      <c r="B42" s="14" t="s">
        <v>345</v>
      </c>
      <c r="C42" s="17"/>
      <c r="D42" s="17">
        <v>2</v>
      </c>
      <c r="E42" s="17"/>
      <c r="F42" s="17"/>
      <c r="G42" s="17">
        <f t="shared" si="2"/>
        <v>2</v>
      </c>
      <c r="H42" s="18"/>
      <c r="I42" s="18"/>
      <c r="J42" s="18"/>
      <c r="K42" s="18"/>
      <c r="L42" s="18"/>
      <c r="M42" s="18"/>
      <c r="N42" s="18"/>
      <c r="O42" s="18"/>
      <c r="P42" s="18"/>
      <c r="Q42" s="18"/>
      <c r="R42" s="18"/>
      <c r="S42" s="18"/>
      <c r="T42" s="18"/>
      <c r="U42" s="18"/>
      <c r="V42" s="18"/>
      <c r="W42" s="18"/>
      <c r="X42" s="18"/>
      <c r="Y42" s="18"/>
      <c r="Z42" s="18"/>
    </row>
    <row r="43" spans="1:26" ht="15.75" x14ac:dyDescent="0.25">
      <c r="A43" s="13">
        <v>34</v>
      </c>
      <c r="B43" s="14" t="s">
        <v>346</v>
      </c>
      <c r="C43" s="17"/>
      <c r="D43" s="17">
        <v>1</v>
      </c>
      <c r="E43" s="17"/>
      <c r="F43" s="17">
        <v>1</v>
      </c>
      <c r="G43" s="17">
        <f t="shared" si="2"/>
        <v>2</v>
      </c>
      <c r="H43" s="18"/>
      <c r="I43" s="18"/>
      <c r="J43" s="18"/>
      <c r="K43" s="18"/>
      <c r="L43" s="18"/>
      <c r="M43" s="18"/>
      <c r="N43" s="18"/>
      <c r="O43" s="18"/>
      <c r="P43" s="18"/>
      <c r="Q43" s="18"/>
      <c r="R43" s="18"/>
      <c r="S43" s="18"/>
      <c r="T43" s="18"/>
      <c r="U43" s="18"/>
      <c r="V43" s="18"/>
      <c r="W43" s="18"/>
      <c r="X43" s="18"/>
      <c r="Y43" s="18"/>
      <c r="Z43" s="18"/>
    </row>
    <row r="44" spans="1:26" ht="18" x14ac:dyDescent="0.25">
      <c r="A44" s="42" t="s">
        <v>330</v>
      </c>
      <c r="B44" s="42"/>
      <c r="C44" s="15"/>
      <c r="D44" s="15">
        <f>SUM(D37:D43)</f>
        <v>4</v>
      </c>
      <c r="E44" s="15"/>
      <c r="F44" s="15">
        <f>SUM(F37:F43)</f>
        <v>16</v>
      </c>
      <c r="G44" s="15">
        <f t="shared" si="2"/>
        <v>20</v>
      </c>
      <c r="H44" s="18"/>
      <c r="I44" s="18"/>
      <c r="J44" s="18"/>
      <c r="K44" s="18"/>
      <c r="L44" s="18"/>
      <c r="M44" s="18"/>
      <c r="N44" s="18"/>
      <c r="O44" s="18"/>
      <c r="P44" s="18"/>
      <c r="Q44" s="18"/>
      <c r="R44" s="18"/>
      <c r="S44" s="18"/>
      <c r="T44" s="18"/>
      <c r="U44" s="18"/>
      <c r="V44" s="18"/>
      <c r="W44" s="18"/>
      <c r="X44" s="18"/>
      <c r="Y44" s="18"/>
      <c r="Z44" s="18"/>
    </row>
    <row r="45" spans="1:26" s="34" customFormat="1" ht="30" customHeight="1" x14ac:dyDescent="0.2">
      <c r="A45" s="39" t="s">
        <v>347</v>
      </c>
      <c r="B45" s="39"/>
      <c r="C45" s="15">
        <f>(C18+C28+C35+C44)</f>
        <v>6</v>
      </c>
      <c r="D45" s="15">
        <f t="shared" ref="D45:G45" si="3">(D18+D28+D35+D44)</f>
        <v>44</v>
      </c>
      <c r="E45" s="15">
        <f t="shared" si="3"/>
        <v>5</v>
      </c>
      <c r="F45" s="15">
        <f t="shared" si="3"/>
        <v>44</v>
      </c>
      <c r="G45" s="15">
        <f t="shared" si="3"/>
        <v>99</v>
      </c>
      <c r="H45" s="18"/>
      <c r="I45" s="18"/>
      <c r="J45" s="18"/>
      <c r="K45" s="18"/>
      <c r="L45" s="18"/>
      <c r="M45" s="18"/>
      <c r="N45" s="18"/>
      <c r="O45" s="18"/>
      <c r="P45" s="18"/>
      <c r="Q45" s="18"/>
      <c r="R45" s="18"/>
      <c r="S45" s="18"/>
      <c r="T45" s="18"/>
      <c r="U45" s="18"/>
      <c r="V45" s="18"/>
      <c r="W45" s="18"/>
      <c r="X45" s="18"/>
      <c r="Y45" s="18"/>
      <c r="Z45" s="18"/>
    </row>
    <row r="46" spans="1:26" x14ac:dyDescent="0.2">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spans="1:26" x14ac:dyDescent="0.2">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spans="1:26" x14ac:dyDescent="0.2">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spans="1:26" x14ac:dyDescent="0.2">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spans="1:26" x14ac:dyDescent="0.2">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spans="1:26" x14ac:dyDescent="0.2">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spans="1:26" x14ac:dyDescent="0.2">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spans="1:26" x14ac:dyDescent="0.2">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spans="1:26" x14ac:dyDescent="0.2">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spans="1:26" x14ac:dyDescent="0.2">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spans="1:26" x14ac:dyDescent="0.2">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spans="1:26" x14ac:dyDescent="0.2">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spans="1:26" x14ac:dyDescent="0.2">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spans="1:26" x14ac:dyDescent="0.2">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spans="1:26" x14ac:dyDescent="0.2">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spans="1:26" x14ac:dyDescent="0.2">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spans="1:26" x14ac:dyDescent="0.2">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spans="1:26" x14ac:dyDescent="0.2">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spans="1:26"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spans="1:26"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spans="1:26"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spans="1:26"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spans="1:26"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spans="1:26"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spans="1:26"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spans="1:26"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spans="1:26"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spans="1:26"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spans="1:26"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spans="1:26"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spans="1:26"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spans="1:26"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spans="1:26"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spans="1:26"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spans="1:26"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spans="1:26"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spans="1:26"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spans="1:26"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spans="1:26"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spans="1:26"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spans="1:26"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spans="1:26"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spans="1:26"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spans="1:26"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spans="1:26"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spans="1:26"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spans="1:26"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spans="1:26"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spans="1:26"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spans="1:26"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spans="1:26"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spans="1:26"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spans="1:26"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spans="1:26"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spans="1:26"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spans="1:26"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spans="1:26"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spans="1:26"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spans="1:26"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spans="1:26"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spans="1:26"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spans="1:26"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spans="1:26"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spans="1:26"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spans="1:26"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spans="1:26"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spans="1:26"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spans="1:26"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spans="1:26"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spans="1:26"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spans="1:26"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spans="1:26"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spans="1:26"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spans="1:26"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spans="1:26"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spans="1:26"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spans="1:26"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spans="1:26"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spans="1:26"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spans="1:26"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spans="1:26"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spans="1:26"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spans="1:26"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spans="1:26"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spans="1:26"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spans="1:26"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spans="1:26"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spans="1:26"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spans="1:26"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spans="1:26"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spans="1:26"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spans="1:26"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spans="1:26"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spans="1:26"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spans="1:26"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spans="1:26"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spans="1:26"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spans="1:26"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spans="1:26"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spans="1:26"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spans="1:26"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spans="1:26"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spans="1:26"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spans="1:26"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spans="1:26"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spans="1:26"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spans="1:26"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spans="1:26"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spans="1:26"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spans="1:26"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spans="1:26"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spans="1:26"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spans="1:26"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spans="1:26"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spans="1:26"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spans="1:26"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spans="1:26"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spans="1:26"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spans="1:26"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spans="1:26"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spans="1:26"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spans="1:26"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spans="1:26"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spans="1:26"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spans="1:26"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spans="1:26"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spans="1:26"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spans="1:26"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spans="1:26"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spans="1:26"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spans="1:26"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spans="1:26"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spans="1:26"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spans="1:26"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spans="1:26"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spans="1:26"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spans="1:26"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spans="1:26"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spans="1:26"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spans="1:26"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spans="1:26"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spans="1:26"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spans="1:26"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spans="1:26"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spans="1:26"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spans="1:26"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spans="1:26"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spans="1:26"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spans="1:26"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spans="1:26"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spans="1:26"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spans="1:26"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spans="1:26"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spans="1:26"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spans="1:26"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spans="1:26"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spans="1:26"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spans="1:26"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spans="1:26"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spans="1:26"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spans="1:26"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spans="1:26"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spans="1:26"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spans="1:26"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spans="1:26"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spans="1:26"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spans="1:26"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spans="1:26"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spans="1:26"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spans="1:26"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spans="1:26"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spans="1:26"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spans="1:26"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spans="1:26"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spans="1:26"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spans="1:26"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spans="1:26"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spans="1:26"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spans="1:26"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spans="1:26"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spans="1:26"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spans="1:26"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spans="1:26"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spans="1:26"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spans="1:26"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spans="1:26"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spans="1:26"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spans="1:26"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spans="1:26"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spans="1:26"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spans="1:26"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spans="1:26"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spans="1:26"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spans="1:26"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spans="1:26"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spans="1:26"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spans="1:26"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spans="1:26"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spans="1:26"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spans="1:26"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spans="1:26"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spans="1:26"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spans="1:26"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spans="1:26"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spans="1:26"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spans="1:26"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spans="1:26"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spans="1:26"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spans="1:26"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spans="1:26"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spans="1:26"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spans="1:26"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spans="1:26"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spans="1:26"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spans="1:26"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spans="1:26"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spans="1:26"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spans="1:26"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spans="1:26" x14ac:dyDescent="0.2">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spans="1:26" x14ac:dyDescent="0.2">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spans="1:26" x14ac:dyDescent="0.2">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spans="1:26" x14ac:dyDescent="0.2">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spans="1:26" x14ac:dyDescent="0.2">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spans="1:26" x14ac:dyDescent="0.2">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spans="1:26" x14ac:dyDescent="0.2">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spans="1:26" x14ac:dyDescent="0.2">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spans="1:26" x14ac:dyDescent="0.2">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spans="1:26" x14ac:dyDescent="0.2">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spans="1:26" x14ac:dyDescent="0.2">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spans="1:26" x14ac:dyDescent="0.2">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spans="1:26" x14ac:dyDescent="0.2">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spans="1:26" x14ac:dyDescent="0.2">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spans="1:26" x14ac:dyDescent="0.2">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spans="1:26" x14ac:dyDescent="0.2">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spans="1:26" x14ac:dyDescent="0.2">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spans="1:26" x14ac:dyDescent="0.2">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spans="1:26" x14ac:dyDescent="0.2">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spans="1:26" x14ac:dyDescent="0.2">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spans="1:26" x14ac:dyDescent="0.2">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spans="1:26" x14ac:dyDescent="0.2">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spans="1:26" x14ac:dyDescent="0.2">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spans="1:26" x14ac:dyDescent="0.2">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spans="1:26" x14ac:dyDescent="0.2">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spans="1:26" x14ac:dyDescent="0.2">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spans="1:26" x14ac:dyDescent="0.2">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spans="1:26" x14ac:dyDescent="0.2">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spans="1:26" x14ac:dyDescent="0.2">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spans="1:26" x14ac:dyDescent="0.2">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spans="1:26" x14ac:dyDescent="0.2">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spans="1:26" x14ac:dyDescent="0.2">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spans="1:26" x14ac:dyDescent="0.2">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spans="1:26" x14ac:dyDescent="0.2">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spans="1:26" x14ac:dyDescent="0.2">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spans="1:26" x14ac:dyDescent="0.2">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spans="1:26" x14ac:dyDescent="0.2">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spans="1:26" x14ac:dyDescent="0.2">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spans="1:26" x14ac:dyDescent="0.2">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spans="1:26" x14ac:dyDescent="0.2">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spans="1:26" x14ac:dyDescent="0.2">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spans="1:26" x14ac:dyDescent="0.2">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spans="1:26" x14ac:dyDescent="0.2">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spans="1:26" x14ac:dyDescent="0.2">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spans="1:26" x14ac:dyDescent="0.2">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spans="1:26" x14ac:dyDescent="0.2">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spans="1:26" x14ac:dyDescent="0.2">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spans="1:26" x14ac:dyDescent="0.2">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spans="1:26" x14ac:dyDescent="0.2">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spans="1:26" x14ac:dyDescent="0.2">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spans="1:26" x14ac:dyDescent="0.2">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spans="1:26" x14ac:dyDescent="0.2">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spans="1:26" x14ac:dyDescent="0.2">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spans="1:26" x14ac:dyDescent="0.2">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spans="1:26" x14ac:dyDescent="0.2">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spans="1:26" x14ac:dyDescent="0.2">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spans="1:26" x14ac:dyDescent="0.2">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spans="1:26" x14ac:dyDescent="0.2">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spans="1:26" x14ac:dyDescent="0.2">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spans="1:26" x14ac:dyDescent="0.2">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spans="1:26" x14ac:dyDescent="0.2">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spans="1:26" x14ac:dyDescent="0.2">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spans="1:26" x14ac:dyDescent="0.2">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spans="1:26" x14ac:dyDescent="0.2">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spans="1:26" x14ac:dyDescent="0.2">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spans="1:26" x14ac:dyDescent="0.2">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spans="1:26" x14ac:dyDescent="0.2">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spans="1:26" x14ac:dyDescent="0.2">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spans="1:26" x14ac:dyDescent="0.2">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spans="1:26" x14ac:dyDescent="0.2">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spans="1:26" x14ac:dyDescent="0.2">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spans="1:26" x14ac:dyDescent="0.2">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spans="1:26" x14ac:dyDescent="0.2">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spans="1:26" x14ac:dyDescent="0.2">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spans="1:26" x14ac:dyDescent="0.2">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spans="1:26" x14ac:dyDescent="0.2">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spans="1:26" x14ac:dyDescent="0.2">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spans="1:26" x14ac:dyDescent="0.2">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spans="1:26" x14ac:dyDescent="0.2">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spans="1:26" x14ac:dyDescent="0.2">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spans="1:26" x14ac:dyDescent="0.2">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spans="1:26" x14ac:dyDescent="0.2">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spans="1:26" x14ac:dyDescent="0.2">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spans="1:26" x14ac:dyDescent="0.2">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spans="1:26" x14ac:dyDescent="0.2">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spans="1:26" x14ac:dyDescent="0.2">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spans="1:26" x14ac:dyDescent="0.2">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spans="1:26" x14ac:dyDescent="0.2">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spans="1:26" x14ac:dyDescent="0.2">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spans="1:26" x14ac:dyDescent="0.2">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spans="1:26" x14ac:dyDescent="0.2">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spans="1:26" x14ac:dyDescent="0.2">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spans="1:26" x14ac:dyDescent="0.2">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spans="1:26" x14ac:dyDescent="0.2">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spans="1:26" x14ac:dyDescent="0.2">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spans="1:26" x14ac:dyDescent="0.2">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spans="1:26" x14ac:dyDescent="0.2">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spans="1:26" x14ac:dyDescent="0.2">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spans="1:26" x14ac:dyDescent="0.2">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spans="1:26" x14ac:dyDescent="0.2">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spans="1:26" x14ac:dyDescent="0.2">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spans="1:26" x14ac:dyDescent="0.2">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spans="1:26" x14ac:dyDescent="0.2">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spans="1:26" x14ac:dyDescent="0.2">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spans="1:26" x14ac:dyDescent="0.2">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spans="1:26" x14ac:dyDescent="0.2">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spans="1:26" x14ac:dyDescent="0.2">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spans="1:26" x14ac:dyDescent="0.2">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spans="1:26" x14ac:dyDescent="0.2">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spans="1:26" x14ac:dyDescent="0.2">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spans="1:26" x14ac:dyDescent="0.2">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spans="1:26" x14ac:dyDescent="0.2">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spans="1:26" x14ac:dyDescent="0.2">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spans="1:26" x14ac:dyDescent="0.2">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spans="1:26" x14ac:dyDescent="0.2">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spans="1:26" x14ac:dyDescent="0.2">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spans="1:26" x14ac:dyDescent="0.2">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spans="1:26" x14ac:dyDescent="0.2">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spans="1:26" x14ac:dyDescent="0.2">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spans="1:26" x14ac:dyDescent="0.2">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spans="1:26" x14ac:dyDescent="0.2">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spans="1:26" x14ac:dyDescent="0.2">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spans="1:26" x14ac:dyDescent="0.2">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spans="1:26" x14ac:dyDescent="0.2">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spans="1:26" x14ac:dyDescent="0.2">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spans="1:26" x14ac:dyDescent="0.2">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spans="1:26" x14ac:dyDescent="0.2">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spans="1:26" x14ac:dyDescent="0.2">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spans="1:26" x14ac:dyDescent="0.2">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spans="1:26" x14ac:dyDescent="0.2">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spans="1:26" x14ac:dyDescent="0.2">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spans="1:26" x14ac:dyDescent="0.2">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spans="1:26" x14ac:dyDescent="0.2">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spans="1:26" x14ac:dyDescent="0.2">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spans="1:26" x14ac:dyDescent="0.2">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spans="1:26" x14ac:dyDescent="0.2">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spans="1:26" x14ac:dyDescent="0.2">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spans="1:26" x14ac:dyDescent="0.2">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spans="1:26" x14ac:dyDescent="0.2">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spans="1:26" x14ac:dyDescent="0.2">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spans="1:26" x14ac:dyDescent="0.2">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spans="1:26" x14ac:dyDescent="0.2">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spans="1:26" x14ac:dyDescent="0.2">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spans="1:26" x14ac:dyDescent="0.2">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spans="1:26" x14ac:dyDescent="0.2">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spans="1:26" x14ac:dyDescent="0.2">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spans="1:26" x14ac:dyDescent="0.2">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spans="1:26" x14ac:dyDescent="0.2">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spans="1:26" x14ac:dyDescent="0.2">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spans="1:26" x14ac:dyDescent="0.2">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spans="1:26" x14ac:dyDescent="0.2">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spans="1:26" x14ac:dyDescent="0.2">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spans="1:26" x14ac:dyDescent="0.2">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spans="1:26" x14ac:dyDescent="0.2">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spans="1:26" x14ac:dyDescent="0.2">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spans="1:26" x14ac:dyDescent="0.2">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spans="1:26" x14ac:dyDescent="0.2">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spans="1:26" x14ac:dyDescent="0.2">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spans="1:26" x14ac:dyDescent="0.2">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spans="1:26" x14ac:dyDescent="0.2">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spans="1:26" x14ac:dyDescent="0.2">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spans="1:26" x14ac:dyDescent="0.2">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spans="1:26" x14ac:dyDescent="0.2">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spans="1:26" x14ac:dyDescent="0.2">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spans="1:26" x14ac:dyDescent="0.2">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spans="1:26" x14ac:dyDescent="0.2">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spans="1:26" x14ac:dyDescent="0.2">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spans="1:26" x14ac:dyDescent="0.2">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spans="1:26" x14ac:dyDescent="0.2">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spans="1:26" x14ac:dyDescent="0.2">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spans="1:26" x14ac:dyDescent="0.2">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spans="1:26" x14ac:dyDescent="0.2">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spans="1:26" x14ac:dyDescent="0.2">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spans="1:26" x14ac:dyDescent="0.2">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spans="1:26" x14ac:dyDescent="0.2">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spans="1:26" x14ac:dyDescent="0.2">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spans="1:26" x14ac:dyDescent="0.2">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spans="1:26" x14ac:dyDescent="0.2">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spans="1:26" x14ac:dyDescent="0.2">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spans="1:26" x14ac:dyDescent="0.2">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spans="1:26" x14ac:dyDescent="0.2">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spans="1:26" x14ac:dyDescent="0.2">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spans="1:26" x14ac:dyDescent="0.2">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spans="1:26" x14ac:dyDescent="0.2">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spans="1:26" x14ac:dyDescent="0.2">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spans="1:26" x14ac:dyDescent="0.2">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spans="1:26" x14ac:dyDescent="0.2">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spans="1:26" x14ac:dyDescent="0.2">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spans="1:26" x14ac:dyDescent="0.2">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spans="1:26" x14ac:dyDescent="0.2">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spans="1:26" x14ac:dyDescent="0.2">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spans="1:26" x14ac:dyDescent="0.2">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spans="1:26" x14ac:dyDescent="0.2">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spans="1:26" x14ac:dyDescent="0.2">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spans="1:26" x14ac:dyDescent="0.2">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spans="1:26" x14ac:dyDescent="0.2">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spans="1:26" x14ac:dyDescent="0.2">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spans="1:26" x14ac:dyDescent="0.2">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spans="1:26" x14ac:dyDescent="0.2">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spans="1:26" x14ac:dyDescent="0.2">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spans="1:26" x14ac:dyDescent="0.2">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spans="1:26" x14ac:dyDescent="0.2">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spans="1:26" x14ac:dyDescent="0.2">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spans="1:26" x14ac:dyDescent="0.2">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spans="1:26" x14ac:dyDescent="0.2">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spans="1:26" x14ac:dyDescent="0.2">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spans="1:26" x14ac:dyDescent="0.2">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spans="1:26" x14ac:dyDescent="0.2">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spans="1:26" x14ac:dyDescent="0.2">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spans="1:26" x14ac:dyDescent="0.2">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spans="1:26" x14ac:dyDescent="0.2">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spans="1:26" x14ac:dyDescent="0.2">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spans="1:26" x14ac:dyDescent="0.2">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spans="1:26" x14ac:dyDescent="0.2">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spans="1:26" x14ac:dyDescent="0.2">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spans="1:26" x14ac:dyDescent="0.2">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spans="1:26" x14ac:dyDescent="0.2">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spans="1:26" x14ac:dyDescent="0.2">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spans="1:26" x14ac:dyDescent="0.2">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spans="1:26" x14ac:dyDescent="0.2">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spans="1:26" x14ac:dyDescent="0.2">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spans="1:26" x14ac:dyDescent="0.2">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spans="1:26" x14ac:dyDescent="0.2">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spans="1:26" x14ac:dyDescent="0.2">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spans="1:26" x14ac:dyDescent="0.2">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spans="1:26" x14ac:dyDescent="0.2">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spans="1:26" x14ac:dyDescent="0.2">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spans="1:26" x14ac:dyDescent="0.2">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spans="1:26" x14ac:dyDescent="0.2">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spans="1:26" x14ac:dyDescent="0.2">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spans="1:26" x14ac:dyDescent="0.2">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spans="1:26" x14ac:dyDescent="0.2">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spans="1:26" x14ac:dyDescent="0.2">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spans="1:26" x14ac:dyDescent="0.2">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spans="1:26" x14ac:dyDescent="0.2">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spans="1:26" x14ac:dyDescent="0.2">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spans="1:26" x14ac:dyDescent="0.2">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spans="1:26" x14ac:dyDescent="0.2">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spans="1:26" x14ac:dyDescent="0.2">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spans="1:26" x14ac:dyDescent="0.2">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spans="1:26" x14ac:dyDescent="0.2">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spans="1:26" x14ac:dyDescent="0.2">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spans="1:26" x14ac:dyDescent="0.2">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spans="1:26" x14ac:dyDescent="0.2">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spans="1:26" x14ac:dyDescent="0.2">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spans="1:26" x14ac:dyDescent="0.2">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spans="1:26" x14ac:dyDescent="0.2">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spans="1:26" x14ac:dyDescent="0.2">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spans="1:26" x14ac:dyDescent="0.2">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spans="1:26" x14ac:dyDescent="0.2">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spans="1:26" x14ac:dyDescent="0.2">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spans="1:26" x14ac:dyDescent="0.2">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spans="1:26" x14ac:dyDescent="0.2">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spans="1:26" x14ac:dyDescent="0.2">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spans="1:26" x14ac:dyDescent="0.2">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spans="1:26" x14ac:dyDescent="0.2">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spans="1:26" x14ac:dyDescent="0.2">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spans="1:26" x14ac:dyDescent="0.2">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spans="1:26" x14ac:dyDescent="0.2">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spans="1:26" x14ac:dyDescent="0.2">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spans="1:26" x14ac:dyDescent="0.2">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spans="1:26" x14ac:dyDescent="0.2">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spans="1:26" x14ac:dyDescent="0.2">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spans="1:26" x14ac:dyDescent="0.2">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spans="1:26" x14ac:dyDescent="0.2">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spans="1:26" x14ac:dyDescent="0.2">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spans="1:26" x14ac:dyDescent="0.2">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spans="1:26" x14ac:dyDescent="0.2">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spans="1:26" x14ac:dyDescent="0.2">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spans="1:26" x14ac:dyDescent="0.2">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spans="1:26" x14ac:dyDescent="0.2">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spans="1:26" x14ac:dyDescent="0.2">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spans="1:26" x14ac:dyDescent="0.2">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spans="1:26" x14ac:dyDescent="0.2">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spans="1:26" x14ac:dyDescent="0.2">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spans="1:26" x14ac:dyDescent="0.2">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spans="1:26" x14ac:dyDescent="0.2">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spans="1:26" x14ac:dyDescent="0.2">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spans="1:26" x14ac:dyDescent="0.2">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spans="1:26" x14ac:dyDescent="0.2">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spans="1:26" x14ac:dyDescent="0.2">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spans="1:26" x14ac:dyDescent="0.2">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spans="1:26" x14ac:dyDescent="0.2">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spans="1:26" x14ac:dyDescent="0.2">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spans="1:26" x14ac:dyDescent="0.2">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spans="1:26" x14ac:dyDescent="0.2">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spans="1:26" x14ac:dyDescent="0.2">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spans="1:26" x14ac:dyDescent="0.2">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spans="1:26" x14ac:dyDescent="0.2">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spans="1:26" x14ac:dyDescent="0.2">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spans="1:26" x14ac:dyDescent="0.2">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spans="1:26" x14ac:dyDescent="0.2">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spans="1:26" x14ac:dyDescent="0.2">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spans="1:26" x14ac:dyDescent="0.2">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spans="1:26" x14ac:dyDescent="0.2">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spans="1:26" x14ac:dyDescent="0.2">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spans="1:26" x14ac:dyDescent="0.2">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spans="1:26" x14ac:dyDescent="0.2">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spans="1:26" x14ac:dyDescent="0.2">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spans="1:26" x14ac:dyDescent="0.2">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spans="1:26" x14ac:dyDescent="0.2">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spans="1:26" x14ac:dyDescent="0.2">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spans="1:26" x14ac:dyDescent="0.2">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spans="1:26" x14ac:dyDescent="0.2">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spans="1:26" x14ac:dyDescent="0.2">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spans="1:26" x14ac:dyDescent="0.2">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spans="1:26" x14ac:dyDescent="0.2">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spans="1:26" x14ac:dyDescent="0.2">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spans="1:26" x14ac:dyDescent="0.2">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spans="1:26" x14ac:dyDescent="0.2">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spans="1:26" x14ac:dyDescent="0.2">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spans="1:26" x14ac:dyDescent="0.2">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spans="1:26" x14ac:dyDescent="0.2">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spans="1:26" x14ac:dyDescent="0.2">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spans="1:26" x14ac:dyDescent="0.2">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spans="1:26" x14ac:dyDescent="0.2">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spans="1:26" x14ac:dyDescent="0.2">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spans="1:26" x14ac:dyDescent="0.2">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spans="1:26" x14ac:dyDescent="0.2">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spans="1:26" x14ac:dyDescent="0.2">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spans="1:26" x14ac:dyDescent="0.2">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spans="1:26" x14ac:dyDescent="0.2">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spans="1:26" x14ac:dyDescent="0.2">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spans="1:26" x14ac:dyDescent="0.2">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spans="1:26" x14ac:dyDescent="0.2">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spans="1:26" x14ac:dyDescent="0.2">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spans="1:26" x14ac:dyDescent="0.2">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spans="1:26" x14ac:dyDescent="0.2">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spans="1:26" x14ac:dyDescent="0.2">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spans="1:26" x14ac:dyDescent="0.2">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spans="1:26" x14ac:dyDescent="0.2">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spans="1:26" x14ac:dyDescent="0.2">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spans="1:26" x14ac:dyDescent="0.2">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spans="1:26" x14ac:dyDescent="0.2">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spans="1:26" x14ac:dyDescent="0.2">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spans="1:26" x14ac:dyDescent="0.2">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spans="1:26" x14ac:dyDescent="0.2">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spans="1:26" x14ac:dyDescent="0.2">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spans="1:26" x14ac:dyDescent="0.2">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spans="1:26" x14ac:dyDescent="0.2">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spans="1:26" x14ac:dyDescent="0.2">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spans="1:26" x14ac:dyDescent="0.2">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spans="1:26" x14ac:dyDescent="0.2">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spans="1:26" x14ac:dyDescent="0.2">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spans="1:26" x14ac:dyDescent="0.2">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spans="1:26" x14ac:dyDescent="0.2">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spans="1:26" x14ac:dyDescent="0.2">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spans="1:26" x14ac:dyDescent="0.2">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spans="1:26" x14ac:dyDescent="0.2">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spans="1:26" x14ac:dyDescent="0.2">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spans="1:26" x14ac:dyDescent="0.2">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spans="1:26" x14ac:dyDescent="0.2">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spans="1:26" x14ac:dyDescent="0.2">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spans="1:26" x14ac:dyDescent="0.2">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spans="1:26" x14ac:dyDescent="0.2">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spans="1:26" x14ac:dyDescent="0.2">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spans="1:26" x14ac:dyDescent="0.2">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spans="1:26" x14ac:dyDescent="0.2">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spans="1:26" x14ac:dyDescent="0.2">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spans="1:26" x14ac:dyDescent="0.2">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spans="1:26" x14ac:dyDescent="0.2">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spans="1:26" x14ac:dyDescent="0.2">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spans="1:26" x14ac:dyDescent="0.2">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spans="1:26" x14ac:dyDescent="0.2">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spans="1:26" x14ac:dyDescent="0.2">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spans="1:26" x14ac:dyDescent="0.2">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spans="1:26" x14ac:dyDescent="0.2">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spans="1:26" x14ac:dyDescent="0.2">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spans="1:26" x14ac:dyDescent="0.2">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spans="1:26" x14ac:dyDescent="0.2">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spans="1:26" x14ac:dyDescent="0.2">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spans="1:26" x14ac:dyDescent="0.2">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spans="1:26" x14ac:dyDescent="0.2">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spans="1:26" x14ac:dyDescent="0.2">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spans="1:26" x14ac:dyDescent="0.2">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spans="1:26" x14ac:dyDescent="0.2">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spans="1:26" x14ac:dyDescent="0.2">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spans="1:26" x14ac:dyDescent="0.2">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spans="1:26" x14ac:dyDescent="0.2">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spans="1:26" x14ac:dyDescent="0.2">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spans="1:26" x14ac:dyDescent="0.2">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spans="1:26" x14ac:dyDescent="0.2">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spans="1:26" x14ac:dyDescent="0.2">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spans="1:26" x14ac:dyDescent="0.2">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spans="1:26" x14ac:dyDescent="0.2">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spans="1:26" x14ac:dyDescent="0.2">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spans="1:26" x14ac:dyDescent="0.2">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spans="1:26" x14ac:dyDescent="0.2">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spans="1:26" x14ac:dyDescent="0.2">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spans="1:26" x14ac:dyDescent="0.2">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spans="1:26" x14ac:dyDescent="0.2">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spans="1:26" x14ac:dyDescent="0.2">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spans="1:26" x14ac:dyDescent="0.2">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spans="1:26" x14ac:dyDescent="0.2">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spans="1:26" x14ac:dyDescent="0.2">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spans="1:26" x14ac:dyDescent="0.2">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spans="1:26" x14ac:dyDescent="0.2">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spans="1:26" x14ac:dyDescent="0.2">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spans="1:26" x14ac:dyDescent="0.2">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spans="1:26" x14ac:dyDescent="0.2">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spans="1:26" x14ac:dyDescent="0.2">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spans="1:26" x14ac:dyDescent="0.2">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spans="1:26" x14ac:dyDescent="0.2">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spans="1:26" x14ac:dyDescent="0.2">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spans="1:26" x14ac:dyDescent="0.2">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spans="1:26" x14ac:dyDescent="0.2">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spans="1:26" x14ac:dyDescent="0.2">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spans="1:26" x14ac:dyDescent="0.2">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spans="1:26" x14ac:dyDescent="0.2">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spans="1:26" x14ac:dyDescent="0.2">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spans="1:26" x14ac:dyDescent="0.2">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spans="1:26" x14ac:dyDescent="0.2">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spans="1:26" x14ac:dyDescent="0.2">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spans="1:26" x14ac:dyDescent="0.2">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spans="1:26" x14ac:dyDescent="0.2">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spans="1:26" x14ac:dyDescent="0.2">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spans="1:26" x14ac:dyDescent="0.2">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spans="1:26" x14ac:dyDescent="0.2">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spans="1:26" x14ac:dyDescent="0.2">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spans="1:26" x14ac:dyDescent="0.2">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spans="1:26" x14ac:dyDescent="0.2">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spans="1:26" x14ac:dyDescent="0.2">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spans="1:26" x14ac:dyDescent="0.2">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spans="1:26" x14ac:dyDescent="0.2">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spans="1:26" x14ac:dyDescent="0.2">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spans="1:26" x14ac:dyDescent="0.2">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spans="1:26" x14ac:dyDescent="0.2">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spans="1:26" x14ac:dyDescent="0.2">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spans="1:26" x14ac:dyDescent="0.2">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spans="1:26" x14ac:dyDescent="0.2">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spans="1:26" x14ac:dyDescent="0.2">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spans="1:26" x14ac:dyDescent="0.2">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spans="1:26" x14ac:dyDescent="0.2">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spans="1:26" x14ac:dyDescent="0.2">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spans="1:26" x14ac:dyDescent="0.2">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spans="1:26" x14ac:dyDescent="0.2">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spans="1:26" x14ac:dyDescent="0.2">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spans="1:26" x14ac:dyDescent="0.2">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spans="1:26" x14ac:dyDescent="0.2">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spans="1:26" x14ac:dyDescent="0.2">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spans="1:26" x14ac:dyDescent="0.2">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spans="1:26" x14ac:dyDescent="0.2">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spans="1:26" x14ac:dyDescent="0.2">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spans="1:26" x14ac:dyDescent="0.2">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spans="1:26" x14ac:dyDescent="0.2">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spans="1:26" x14ac:dyDescent="0.2">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spans="1:26" x14ac:dyDescent="0.2">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spans="1:26" x14ac:dyDescent="0.2">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spans="1:26" x14ac:dyDescent="0.2">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spans="1:26" x14ac:dyDescent="0.2">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spans="1:26" x14ac:dyDescent="0.2">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spans="1:26" x14ac:dyDescent="0.2">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spans="1:26" x14ac:dyDescent="0.2">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spans="1:26" x14ac:dyDescent="0.2">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spans="1:26" x14ac:dyDescent="0.2">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spans="1:26" x14ac:dyDescent="0.2">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spans="1:26" x14ac:dyDescent="0.2">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spans="1:26" x14ac:dyDescent="0.2">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spans="1:26" x14ac:dyDescent="0.2">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spans="1:26" x14ac:dyDescent="0.2">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spans="1:26" x14ac:dyDescent="0.2">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spans="1:26" x14ac:dyDescent="0.2">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spans="1:26" x14ac:dyDescent="0.2">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spans="1:26" x14ac:dyDescent="0.2">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spans="1:26" x14ac:dyDescent="0.2">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spans="1:26" x14ac:dyDescent="0.2">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spans="1:26" x14ac:dyDescent="0.2">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spans="1:26" x14ac:dyDescent="0.2">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spans="1:26" x14ac:dyDescent="0.2">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spans="1:26" x14ac:dyDescent="0.2">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spans="1:26" x14ac:dyDescent="0.2">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spans="1:26" x14ac:dyDescent="0.2">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spans="1:26" x14ac:dyDescent="0.2">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spans="1:26" x14ac:dyDescent="0.2">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spans="1:26" x14ac:dyDescent="0.2">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spans="1:26" x14ac:dyDescent="0.2">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spans="1:26" x14ac:dyDescent="0.2">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spans="1:26" x14ac:dyDescent="0.2">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spans="1:26" x14ac:dyDescent="0.2">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spans="1:26" x14ac:dyDescent="0.2">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spans="1:26" x14ac:dyDescent="0.2">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spans="1:26" x14ac:dyDescent="0.2">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spans="1:26" x14ac:dyDescent="0.2">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spans="1:26" x14ac:dyDescent="0.2">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spans="1:26" x14ac:dyDescent="0.2">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spans="1:26" x14ac:dyDescent="0.2">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spans="1:26" x14ac:dyDescent="0.2">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spans="1:26" x14ac:dyDescent="0.2">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spans="1:26" x14ac:dyDescent="0.2">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spans="1:26" x14ac:dyDescent="0.2">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spans="1:26" x14ac:dyDescent="0.2">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spans="1:26" x14ac:dyDescent="0.2">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spans="1:26" x14ac:dyDescent="0.2">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spans="1:26" x14ac:dyDescent="0.2">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spans="1:26" x14ac:dyDescent="0.2">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spans="1:26" x14ac:dyDescent="0.2">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spans="1:26" x14ac:dyDescent="0.2">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spans="1:26" x14ac:dyDescent="0.2">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spans="1:26" x14ac:dyDescent="0.2">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spans="1:26" x14ac:dyDescent="0.2">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spans="1:26" x14ac:dyDescent="0.2">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spans="1:26" x14ac:dyDescent="0.2">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spans="1:26" x14ac:dyDescent="0.2">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spans="1:26" x14ac:dyDescent="0.2">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spans="1:26" x14ac:dyDescent="0.2">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spans="1:26" x14ac:dyDescent="0.2">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spans="1:26" x14ac:dyDescent="0.2">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spans="1:26" x14ac:dyDescent="0.2">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spans="1:26" x14ac:dyDescent="0.2">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spans="1:26" x14ac:dyDescent="0.2">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spans="1:26" x14ac:dyDescent="0.2">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spans="1:26" x14ac:dyDescent="0.2">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spans="1:26" x14ac:dyDescent="0.2">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spans="1:26" x14ac:dyDescent="0.2">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spans="1:26" x14ac:dyDescent="0.2">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spans="1:26" x14ac:dyDescent="0.2">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spans="1:26" x14ac:dyDescent="0.2">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spans="1:26" x14ac:dyDescent="0.2">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spans="1:26" x14ac:dyDescent="0.2">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spans="1:26" x14ac:dyDescent="0.2">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spans="1:26" x14ac:dyDescent="0.2">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spans="1:26" x14ac:dyDescent="0.2">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spans="1:26" x14ac:dyDescent="0.2">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spans="1:26" x14ac:dyDescent="0.2">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spans="1:26" x14ac:dyDescent="0.2">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spans="1:26" x14ac:dyDescent="0.2">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spans="1:26" x14ac:dyDescent="0.2">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spans="1:26" x14ac:dyDescent="0.2">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spans="1:26" x14ac:dyDescent="0.2">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spans="1:26" x14ac:dyDescent="0.2">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spans="1:26" x14ac:dyDescent="0.2">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spans="1:26" x14ac:dyDescent="0.2">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spans="1:26" x14ac:dyDescent="0.2">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spans="1:26" x14ac:dyDescent="0.2">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spans="1:26" x14ac:dyDescent="0.2">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spans="1:26" x14ac:dyDescent="0.2">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spans="1:26" x14ac:dyDescent="0.2">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spans="1:26" x14ac:dyDescent="0.2">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spans="1:26" x14ac:dyDescent="0.2">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spans="1:26" x14ac:dyDescent="0.2">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spans="1:26" x14ac:dyDescent="0.2">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spans="1:26" x14ac:dyDescent="0.2">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spans="1:26" x14ac:dyDescent="0.2">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spans="1:26" x14ac:dyDescent="0.2">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spans="1:26" x14ac:dyDescent="0.2">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spans="1:26" x14ac:dyDescent="0.2">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spans="1:26" x14ac:dyDescent="0.2">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spans="1:26" x14ac:dyDescent="0.2">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spans="1:26" x14ac:dyDescent="0.2">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spans="1:26" x14ac:dyDescent="0.2">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spans="1:26" x14ac:dyDescent="0.2">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spans="1:26" x14ac:dyDescent="0.2">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spans="1:26" x14ac:dyDescent="0.2">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spans="1:26" x14ac:dyDescent="0.2">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spans="1:26" x14ac:dyDescent="0.2">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spans="1:26" x14ac:dyDescent="0.2">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spans="1:26" x14ac:dyDescent="0.2">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spans="1:26" x14ac:dyDescent="0.2">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spans="1:26" x14ac:dyDescent="0.2">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spans="1:26" x14ac:dyDescent="0.2">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spans="1:26" x14ac:dyDescent="0.2">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spans="1:26" x14ac:dyDescent="0.2">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spans="1:26" x14ac:dyDescent="0.2">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spans="1:26" x14ac:dyDescent="0.2">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spans="1:26" x14ac:dyDescent="0.2">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spans="1:26" x14ac:dyDescent="0.2">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spans="1:26" x14ac:dyDescent="0.2">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spans="1:26" x14ac:dyDescent="0.2">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spans="1:26" x14ac:dyDescent="0.2">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spans="1:26" x14ac:dyDescent="0.2">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spans="1:26" x14ac:dyDescent="0.2">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spans="1:26" x14ac:dyDescent="0.2">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spans="1:26" x14ac:dyDescent="0.2">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spans="1:26" x14ac:dyDescent="0.2">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spans="1:26" x14ac:dyDescent="0.2">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spans="1:26" x14ac:dyDescent="0.2">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spans="1:26" x14ac:dyDescent="0.2">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spans="1:26" x14ac:dyDescent="0.2">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spans="1:26" x14ac:dyDescent="0.2">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spans="1:26" x14ac:dyDescent="0.2">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spans="1:26" x14ac:dyDescent="0.2">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spans="1:26" x14ac:dyDescent="0.2">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spans="1:26" x14ac:dyDescent="0.2">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spans="1:26" x14ac:dyDescent="0.2">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spans="1:26" x14ac:dyDescent="0.2">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spans="1:26" x14ac:dyDescent="0.2">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spans="1:26" x14ac:dyDescent="0.2">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spans="1:26" x14ac:dyDescent="0.2">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spans="1:26" x14ac:dyDescent="0.2">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spans="1:26" x14ac:dyDescent="0.2">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spans="1:26" x14ac:dyDescent="0.2">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spans="1:26" x14ac:dyDescent="0.2">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spans="1:26" x14ac:dyDescent="0.2">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spans="1:26" x14ac:dyDescent="0.2">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spans="1:26" x14ac:dyDescent="0.2">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spans="1:26" x14ac:dyDescent="0.2">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spans="1:26" x14ac:dyDescent="0.2">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spans="1:26" x14ac:dyDescent="0.2">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spans="1:26" x14ac:dyDescent="0.2">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spans="1:26" x14ac:dyDescent="0.2">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spans="1:26" x14ac:dyDescent="0.2">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spans="1:26" x14ac:dyDescent="0.2">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spans="1:26" x14ac:dyDescent="0.2">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spans="1:26" x14ac:dyDescent="0.2">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spans="1:26" x14ac:dyDescent="0.2">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spans="1:26" x14ac:dyDescent="0.2">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spans="1:26" x14ac:dyDescent="0.2">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spans="1:26" x14ac:dyDescent="0.2">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spans="1:26" x14ac:dyDescent="0.2">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spans="1:26" x14ac:dyDescent="0.2">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spans="1:26" x14ac:dyDescent="0.2">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spans="1:26" x14ac:dyDescent="0.2">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spans="1:26" x14ac:dyDescent="0.2">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spans="1:26" x14ac:dyDescent="0.2">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spans="1:26" x14ac:dyDescent="0.2">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spans="1:26" x14ac:dyDescent="0.2">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spans="1:26" x14ac:dyDescent="0.2">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spans="1:26" x14ac:dyDescent="0.2">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spans="1:26" x14ac:dyDescent="0.2">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spans="1:26" x14ac:dyDescent="0.2">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spans="1:26" x14ac:dyDescent="0.2">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spans="1:26" x14ac:dyDescent="0.2">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spans="1:26" x14ac:dyDescent="0.2">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spans="1:26" x14ac:dyDescent="0.2">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spans="1:26" x14ac:dyDescent="0.2">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spans="1:26" x14ac:dyDescent="0.2">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spans="1:26" x14ac:dyDescent="0.2">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spans="1:26" x14ac:dyDescent="0.2">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spans="1:26" x14ac:dyDescent="0.2">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spans="1:26" x14ac:dyDescent="0.2">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spans="1:26" x14ac:dyDescent="0.2">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spans="1:26" x14ac:dyDescent="0.2">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spans="1:26" x14ac:dyDescent="0.2">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spans="1:26" x14ac:dyDescent="0.2">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spans="1:26" x14ac:dyDescent="0.2">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sheetData>
  <mergeCells count="10">
    <mergeCell ref="A28:B28"/>
    <mergeCell ref="A45:B45"/>
    <mergeCell ref="A1:G1"/>
    <mergeCell ref="A3:B3"/>
    <mergeCell ref="A18:B18"/>
    <mergeCell ref="A19:B19"/>
    <mergeCell ref="A29:B29"/>
    <mergeCell ref="A35:B35"/>
    <mergeCell ref="A36:B36"/>
    <mergeCell ref="A44:B44"/>
  </mergeCells>
  <pageMargins left="0.7" right="0.7" top="0.75" bottom="0.75" header="0.3" footer="0.3"/>
  <pageSetup paperSize="5"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
  <sheetViews>
    <sheetView view="pageBreakPreview" zoomScale="55" zoomScaleNormal="70" zoomScaleSheetLayoutView="55" workbookViewId="0">
      <pane ySplit="3" topLeftCell="A4" activePane="bottomLeft" state="frozen"/>
      <selection pane="bottomLeft" activeCell="D23" sqref="D23"/>
    </sheetView>
  </sheetViews>
  <sheetFormatPr defaultColWidth="9.33203125" defaultRowHeight="15.75" x14ac:dyDescent="0.2"/>
  <cols>
    <col min="1" max="1" width="7" style="3" customWidth="1"/>
    <col min="2" max="2" width="17.83203125" style="2" customWidth="1"/>
    <col min="3" max="3" width="20.6640625" style="2" customWidth="1"/>
    <col min="4" max="4" width="93.1640625" style="2" customWidth="1"/>
    <col min="5" max="5" width="30.6640625" style="2" customWidth="1"/>
    <col min="6" max="6" width="14.33203125" style="3" customWidth="1"/>
    <col min="7" max="7" width="34.1640625" style="2" customWidth="1"/>
    <col min="8" max="8" width="22.1640625" style="2" customWidth="1"/>
    <col min="9" max="16384" width="9.33203125" style="2"/>
  </cols>
  <sheetData>
    <row r="1" spans="1:10" ht="67.5" customHeight="1" x14ac:dyDescent="0.2">
      <c r="A1" s="45" t="s">
        <v>411</v>
      </c>
      <c r="B1" s="45"/>
      <c r="C1" s="45"/>
      <c r="D1" s="45"/>
      <c r="E1" s="45"/>
      <c r="F1" s="45"/>
      <c r="G1" s="45"/>
      <c r="H1" s="45"/>
    </row>
    <row r="2" spans="1:10" ht="66.75" customHeight="1" x14ac:dyDescent="0.2">
      <c r="A2" s="45" t="s">
        <v>400</v>
      </c>
      <c r="B2" s="46"/>
      <c r="C2" s="46"/>
      <c r="D2" s="46"/>
      <c r="E2" s="46"/>
      <c r="F2" s="46"/>
      <c r="G2" s="46"/>
      <c r="H2" s="46"/>
    </row>
    <row r="3" spans="1:10" s="8" customFormat="1" ht="75" customHeight="1" x14ac:dyDescent="0.2">
      <c r="A3" s="7" t="s">
        <v>11</v>
      </c>
      <c r="B3" s="7" t="s">
        <v>12</v>
      </c>
      <c r="C3" s="7" t="s">
        <v>13</v>
      </c>
      <c r="D3" s="7" t="s">
        <v>14</v>
      </c>
      <c r="E3" s="7" t="s">
        <v>15</v>
      </c>
      <c r="F3" s="7" t="s">
        <v>16</v>
      </c>
      <c r="G3" s="7" t="s">
        <v>1</v>
      </c>
      <c r="H3" s="7" t="s">
        <v>9</v>
      </c>
    </row>
    <row r="4" spans="1:10" s="21" customFormat="1" ht="371.25" customHeight="1" x14ac:dyDescent="0.2">
      <c r="A4" s="47">
        <v>1</v>
      </c>
      <c r="B4" s="49" t="s">
        <v>124</v>
      </c>
      <c r="C4" s="49" t="s">
        <v>125</v>
      </c>
      <c r="D4" s="49" t="s">
        <v>126</v>
      </c>
      <c r="E4" s="49" t="s">
        <v>127</v>
      </c>
      <c r="F4" s="51" t="s">
        <v>118</v>
      </c>
      <c r="G4" s="49" t="s">
        <v>128</v>
      </c>
      <c r="H4" s="49" t="s">
        <v>401</v>
      </c>
      <c r="I4" s="2"/>
    </row>
    <row r="5" spans="1:10" s="21" customFormat="1" ht="101.25" customHeight="1" x14ac:dyDescent="0.2">
      <c r="A5" s="48"/>
      <c r="B5" s="50"/>
      <c r="C5" s="50"/>
      <c r="D5" s="49"/>
      <c r="E5" s="50"/>
      <c r="F5" s="48"/>
      <c r="G5" s="50"/>
      <c r="H5" s="50"/>
      <c r="I5" s="2"/>
      <c r="J5" s="2"/>
    </row>
    <row r="6" spans="1:10" s="21" customFormat="1" ht="315" x14ac:dyDescent="0.2">
      <c r="A6" s="36">
        <v>2</v>
      </c>
      <c r="B6" s="20" t="s">
        <v>39</v>
      </c>
      <c r="C6" s="20" t="s">
        <v>390</v>
      </c>
      <c r="D6" s="20" t="s">
        <v>391</v>
      </c>
      <c r="E6" s="20" t="s">
        <v>392</v>
      </c>
      <c r="F6" s="19" t="s">
        <v>118</v>
      </c>
      <c r="G6" s="20" t="s">
        <v>394</v>
      </c>
      <c r="H6" s="20" t="s">
        <v>393</v>
      </c>
      <c r="I6" s="2"/>
      <c r="J6" s="2"/>
    </row>
    <row r="7" spans="1:10" ht="251.25" customHeight="1" x14ac:dyDescent="0.2">
      <c r="A7" s="19">
        <v>3</v>
      </c>
      <c r="B7" s="20" t="s">
        <v>52</v>
      </c>
      <c r="C7" s="20" t="s">
        <v>53</v>
      </c>
      <c r="D7" s="20" t="s">
        <v>73</v>
      </c>
      <c r="E7" s="20" t="s">
        <v>54</v>
      </c>
      <c r="F7" s="19" t="s">
        <v>118</v>
      </c>
      <c r="G7" s="20" t="s">
        <v>8</v>
      </c>
      <c r="H7" s="20" t="s">
        <v>79</v>
      </c>
    </row>
    <row r="8" spans="1:10" ht="141.75" x14ac:dyDescent="0.2">
      <c r="A8" s="19">
        <v>4</v>
      </c>
      <c r="B8" s="20" t="s">
        <v>163</v>
      </c>
      <c r="C8" s="20" t="s">
        <v>167</v>
      </c>
      <c r="D8" s="20" t="s">
        <v>168</v>
      </c>
      <c r="E8" s="20" t="s">
        <v>156</v>
      </c>
      <c r="F8" s="19" t="s">
        <v>118</v>
      </c>
      <c r="G8" s="20" t="s">
        <v>166</v>
      </c>
      <c r="H8" s="20" t="s">
        <v>140</v>
      </c>
    </row>
    <row r="9" spans="1:10" ht="365.25" customHeight="1" x14ac:dyDescent="0.2">
      <c r="A9" s="19">
        <v>5</v>
      </c>
      <c r="B9" s="20" t="s">
        <v>187</v>
      </c>
      <c r="C9" s="20" t="s">
        <v>188</v>
      </c>
      <c r="D9" s="20" t="s">
        <v>189</v>
      </c>
      <c r="E9" s="20" t="s">
        <v>156</v>
      </c>
      <c r="F9" s="19" t="s">
        <v>118</v>
      </c>
      <c r="G9" s="20" t="s">
        <v>190</v>
      </c>
      <c r="H9" s="20" t="s">
        <v>134</v>
      </c>
    </row>
    <row r="10" spans="1:10" ht="370.5" customHeight="1" x14ac:dyDescent="0.2">
      <c r="A10" s="19">
        <v>6</v>
      </c>
      <c r="B10" s="20" t="s">
        <v>338</v>
      </c>
      <c r="C10" s="20" t="s">
        <v>338</v>
      </c>
      <c r="D10" s="20" t="s">
        <v>402</v>
      </c>
      <c r="E10" s="20" t="s">
        <v>156</v>
      </c>
      <c r="F10" s="19" t="s">
        <v>118</v>
      </c>
      <c r="G10" s="20" t="s">
        <v>166</v>
      </c>
      <c r="H10" s="20" t="s">
        <v>403</v>
      </c>
    </row>
  </sheetData>
  <mergeCells count="10">
    <mergeCell ref="A1:H1"/>
    <mergeCell ref="A2:H2"/>
    <mergeCell ref="A4:A5"/>
    <mergeCell ref="B4:B5"/>
    <mergeCell ref="C4:C5"/>
    <mergeCell ref="D4:D5"/>
    <mergeCell ref="E4:E5"/>
    <mergeCell ref="F4:F5"/>
    <mergeCell ref="G4:G5"/>
    <mergeCell ref="H4:H5"/>
  </mergeCells>
  <pageMargins left="0.70866141732283472" right="0.70866141732283472" top="0.74803149606299213" bottom="0.74803149606299213" header="0.31496062992125984" footer="0.31496062992125984"/>
  <pageSetup paperSize="5" scale="7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7"/>
  <sheetViews>
    <sheetView view="pageBreakPreview" zoomScale="70" zoomScaleNormal="70" zoomScaleSheetLayoutView="70" workbookViewId="0">
      <pane ySplit="3" topLeftCell="A44" activePane="bottomLeft" state="frozen"/>
      <selection pane="bottomLeft" activeCell="H49" sqref="H49"/>
    </sheetView>
  </sheetViews>
  <sheetFormatPr defaultColWidth="9.33203125" defaultRowHeight="15.75" x14ac:dyDescent="0.2"/>
  <cols>
    <col min="1" max="1" width="7" style="3" customWidth="1"/>
    <col min="2" max="2" width="20" style="2" customWidth="1"/>
    <col min="3" max="3" width="22.83203125" style="2" customWidth="1"/>
    <col min="4" max="4" width="87.33203125" style="2" customWidth="1"/>
    <col min="5" max="5" width="36.1640625" style="2" customWidth="1"/>
    <col min="6" max="6" width="16" style="3" customWidth="1"/>
    <col min="7" max="7" width="29.1640625" style="2" customWidth="1"/>
    <col min="8" max="8" width="23.83203125" style="2" customWidth="1"/>
    <col min="9" max="9" width="40" style="2" customWidth="1"/>
    <col min="10" max="16384" width="9.33203125" style="2"/>
  </cols>
  <sheetData>
    <row r="1" spans="1:8" ht="67.5" customHeight="1" x14ac:dyDescent="0.2">
      <c r="A1" s="45" t="s">
        <v>411</v>
      </c>
      <c r="B1" s="45"/>
      <c r="C1" s="45"/>
      <c r="D1" s="45"/>
      <c r="E1" s="45"/>
      <c r="F1" s="45"/>
      <c r="G1" s="45"/>
      <c r="H1" s="45"/>
    </row>
    <row r="2" spans="1:8" ht="58.5" customHeight="1" x14ac:dyDescent="0.2">
      <c r="A2" s="45" t="s">
        <v>319</v>
      </c>
      <c r="B2" s="46"/>
      <c r="C2" s="46"/>
      <c r="D2" s="46"/>
      <c r="E2" s="46"/>
      <c r="F2" s="46"/>
      <c r="G2" s="46"/>
      <c r="H2" s="46"/>
    </row>
    <row r="3" spans="1:8" s="8" customFormat="1" ht="59.25" customHeight="1" x14ac:dyDescent="0.2">
      <c r="A3" s="7" t="s">
        <v>11</v>
      </c>
      <c r="B3" s="7" t="s">
        <v>12</v>
      </c>
      <c r="C3" s="7" t="s">
        <v>13</v>
      </c>
      <c r="D3" s="7" t="s">
        <v>14</v>
      </c>
      <c r="E3" s="7" t="s">
        <v>15</v>
      </c>
      <c r="F3" s="7" t="s">
        <v>16</v>
      </c>
      <c r="G3" s="7" t="s">
        <v>1</v>
      </c>
      <c r="H3" s="7" t="s">
        <v>9</v>
      </c>
    </row>
    <row r="4" spans="1:8" ht="201" customHeight="1" x14ac:dyDescent="0.2">
      <c r="A4" s="4">
        <v>1</v>
      </c>
      <c r="B4" s="5" t="s">
        <v>61</v>
      </c>
      <c r="C4" s="5" t="s">
        <v>62</v>
      </c>
      <c r="D4" s="5" t="s">
        <v>74</v>
      </c>
      <c r="E4" s="5" t="s">
        <v>63</v>
      </c>
      <c r="F4" s="19" t="s">
        <v>117</v>
      </c>
      <c r="G4" s="5" t="s">
        <v>3</v>
      </c>
      <c r="H4" s="5" t="s">
        <v>75</v>
      </c>
    </row>
    <row r="5" spans="1:8" ht="311.25" customHeight="1" x14ac:dyDescent="0.2">
      <c r="A5" s="4">
        <v>2</v>
      </c>
      <c r="B5" s="5" t="s">
        <v>29</v>
      </c>
      <c r="C5" s="5" t="s">
        <v>30</v>
      </c>
      <c r="D5" s="5" t="s">
        <v>31</v>
      </c>
      <c r="E5" s="5" t="s">
        <v>32</v>
      </c>
      <c r="F5" s="19" t="s">
        <v>117</v>
      </c>
      <c r="G5" s="5" t="s">
        <v>0</v>
      </c>
      <c r="H5" s="5" t="s">
        <v>77</v>
      </c>
    </row>
    <row r="6" spans="1:8" ht="357" customHeight="1" x14ac:dyDescent="0.2">
      <c r="A6" s="4">
        <v>3</v>
      </c>
      <c r="B6" s="5" t="s">
        <v>45</v>
      </c>
      <c r="C6" s="5" t="s">
        <v>64</v>
      </c>
      <c r="D6" s="5" t="s">
        <v>102</v>
      </c>
      <c r="E6" s="5" t="s">
        <v>65</v>
      </c>
      <c r="F6" s="19" t="s">
        <v>117</v>
      </c>
      <c r="G6" s="5" t="s">
        <v>17</v>
      </c>
      <c r="H6" s="5" t="s">
        <v>18</v>
      </c>
    </row>
    <row r="7" spans="1:8" ht="255" customHeight="1" x14ac:dyDescent="0.2">
      <c r="A7" s="4">
        <v>4</v>
      </c>
      <c r="B7" s="5" t="s">
        <v>45</v>
      </c>
      <c r="C7" s="5" t="s">
        <v>103</v>
      </c>
      <c r="D7" s="5" t="s">
        <v>104</v>
      </c>
      <c r="E7" s="5" t="s">
        <v>105</v>
      </c>
      <c r="F7" s="19" t="s">
        <v>117</v>
      </c>
      <c r="G7" s="5" t="s">
        <v>106</v>
      </c>
      <c r="H7" s="5" t="s">
        <v>100</v>
      </c>
    </row>
    <row r="8" spans="1:8" ht="195.75" customHeight="1" x14ac:dyDescent="0.2">
      <c r="A8" s="4">
        <v>5</v>
      </c>
      <c r="B8" s="5" t="s">
        <v>135</v>
      </c>
      <c r="C8" s="5" t="s">
        <v>136</v>
      </c>
      <c r="D8" s="5" t="s">
        <v>137</v>
      </c>
      <c r="E8" s="5" t="s">
        <v>138</v>
      </c>
      <c r="F8" s="19" t="s">
        <v>117</v>
      </c>
      <c r="G8" s="5" t="s">
        <v>139</v>
      </c>
      <c r="H8" s="5" t="s">
        <v>140</v>
      </c>
    </row>
    <row r="9" spans="1:8" ht="155.25" customHeight="1" x14ac:dyDescent="0.2">
      <c r="A9" s="4">
        <v>6</v>
      </c>
      <c r="B9" s="5" t="s">
        <v>141</v>
      </c>
      <c r="C9" s="5" t="s">
        <v>142</v>
      </c>
      <c r="D9" s="5" t="s">
        <v>143</v>
      </c>
      <c r="E9" s="5" t="s">
        <v>144</v>
      </c>
      <c r="F9" s="19" t="s">
        <v>117</v>
      </c>
      <c r="G9" s="5" t="s">
        <v>145</v>
      </c>
      <c r="H9" s="5" t="s">
        <v>140</v>
      </c>
    </row>
    <row r="10" spans="1:8" ht="289.5" customHeight="1" x14ac:dyDescent="0.2">
      <c r="A10" s="4">
        <v>7</v>
      </c>
      <c r="B10" s="5" t="s">
        <v>150</v>
      </c>
      <c r="C10" s="5" t="s">
        <v>154</v>
      </c>
      <c r="D10" s="5" t="s">
        <v>155</v>
      </c>
      <c r="E10" s="5" t="s">
        <v>156</v>
      </c>
      <c r="F10" s="19" t="s">
        <v>117</v>
      </c>
      <c r="G10" s="5" t="s">
        <v>153</v>
      </c>
      <c r="H10" s="5" t="s">
        <v>157</v>
      </c>
    </row>
    <row r="11" spans="1:8" ht="365.25" customHeight="1" x14ac:dyDescent="0.2">
      <c r="A11" s="4">
        <v>8</v>
      </c>
      <c r="B11" s="5" t="s">
        <v>150</v>
      </c>
      <c r="C11" s="5" t="s">
        <v>158</v>
      </c>
      <c r="D11" s="5" t="s">
        <v>159</v>
      </c>
      <c r="E11" s="5" t="s">
        <v>156</v>
      </c>
      <c r="F11" s="19" t="s">
        <v>117</v>
      </c>
      <c r="G11" s="5" t="s">
        <v>160</v>
      </c>
      <c r="H11" s="5" t="s">
        <v>134</v>
      </c>
    </row>
    <row r="12" spans="1:8" ht="311.25" customHeight="1" x14ac:dyDescent="0.2">
      <c r="A12" s="4">
        <v>9</v>
      </c>
      <c r="B12" s="5" t="s">
        <v>150</v>
      </c>
      <c r="C12" s="5" t="s">
        <v>161</v>
      </c>
      <c r="D12" s="5" t="s">
        <v>162</v>
      </c>
      <c r="E12" s="5" t="s">
        <v>156</v>
      </c>
      <c r="F12" s="19" t="s">
        <v>117</v>
      </c>
      <c r="G12" s="5" t="s">
        <v>160</v>
      </c>
      <c r="H12" s="5" t="s">
        <v>157</v>
      </c>
    </row>
    <row r="13" spans="1:8" ht="261" customHeight="1" x14ac:dyDescent="0.2">
      <c r="A13" s="4">
        <v>10</v>
      </c>
      <c r="B13" s="20" t="s">
        <v>41</v>
      </c>
      <c r="C13" s="20" t="s">
        <v>44</v>
      </c>
      <c r="D13" s="20" t="s">
        <v>113</v>
      </c>
      <c r="E13" s="20" t="s">
        <v>298</v>
      </c>
      <c r="F13" s="19" t="s">
        <v>118</v>
      </c>
      <c r="G13" s="20" t="s">
        <v>6</v>
      </c>
      <c r="H13" s="20" t="s">
        <v>21</v>
      </c>
    </row>
    <row r="14" spans="1:8" ht="261.75" customHeight="1" x14ac:dyDescent="0.2">
      <c r="A14" s="4">
        <v>11</v>
      </c>
      <c r="B14" s="20" t="s">
        <v>41</v>
      </c>
      <c r="C14" s="20" t="s">
        <v>97</v>
      </c>
      <c r="D14" s="20" t="s">
        <v>98</v>
      </c>
      <c r="E14" s="20" t="s">
        <v>298</v>
      </c>
      <c r="F14" s="19" t="s">
        <v>118</v>
      </c>
      <c r="G14" s="20" t="s">
        <v>99</v>
      </c>
      <c r="H14" s="20" t="s">
        <v>21</v>
      </c>
    </row>
    <row r="15" spans="1:8" ht="321.75" customHeight="1" x14ac:dyDescent="0.2">
      <c r="A15" s="4">
        <v>12</v>
      </c>
      <c r="B15" s="20" t="s">
        <v>45</v>
      </c>
      <c r="C15" s="20" t="s">
        <v>46</v>
      </c>
      <c r="D15" s="20" t="s">
        <v>70</v>
      </c>
      <c r="E15" s="20" t="s">
        <v>56</v>
      </c>
      <c r="F15" s="19" t="s">
        <v>118</v>
      </c>
      <c r="G15" s="9" t="s">
        <v>23</v>
      </c>
      <c r="H15" s="20" t="s">
        <v>100</v>
      </c>
    </row>
    <row r="16" spans="1:8" ht="232.5" customHeight="1" x14ac:dyDescent="0.2">
      <c r="A16" s="4">
        <v>13</v>
      </c>
      <c r="B16" s="20" t="s">
        <v>45</v>
      </c>
      <c r="C16" s="20" t="s">
        <v>48</v>
      </c>
      <c r="D16" s="20" t="s">
        <v>72</v>
      </c>
      <c r="E16" s="20" t="s">
        <v>298</v>
      </c>
      <c r="F16" s="19" t="s">
        <v>118</v>
      </c>
      <c r="G16" s="20" t="s">
        <v>107</v>
      </c>
      <c r="H16" s="20" t="s">
        <v>100</v>
      </c>
    </row>
    <row r="17" spans="1:8" ht="312.75" customHeight="1" x14ac:dyDescent="0.2">
      <c r="A17" s="4">
        <v>14</v>
      </c>
      <c r="B17" s="20" t="s">
        <v>45</v>
      </c>
      <c r="C17" s="20" t="s">
        <v>108</v>
      </c>
      <c r="D17" s="20" t="s">
        <v>109</v>
      </c>
      <c r="E17" s="20" t="s">
        <v>34</v>
      </c>
      <c r="F17" s="19" t="s">
        <v>118</v>
      </c>
      <c r="G17" s="20" t="s">
        <v>35</v>
      </c>
      <c r="H17" s="20" t="s">
        <v>22</v>
      </c>
    </row>
    <row r="18" spans="1:8" ht="156.75" customHeight="1" x14ac:dyDescent="0.2">
      <c r="A18" s="4">
        <v>15</v>
      </c>
      <c r="B18" s="20" t="s">
        <v>163</v>
      </c>
      <c r="C18" s="20" t="s">
        <v>164</v>
      </c>
      <c r="D18" s="20" t="s">
        <v>165</v>
      </c>
      <c r="E18" s="20" t="s">
        <v>156</v>
      </c>
      <c r="F18" s="19" t="s">
        <v>118</v>
      </c>
      <c r="G18" s="20" t="s">
        <v>166</v>
      </c>
      <c r="H18" s="20" t="s">
        <v>140</v>
      </c>
    </row>
    <row r="19" spans="1:8" ht="291.75" customHeight="1" x14ac:dyDescent="0.2">
      <c r="A19" s="4">
        <v>16</v>
      </c>
      <c r="B19" s="20" t="s">
        <v>169</v>
      </c>
      <c r="C19" s="20" t="s">
        <v>170</v>
      </c>
      <c r="D19" s="20" t="s">
        <v>171</v>
      </c>
      <c r="E19" s="20" t="s">
        <v>172</v>
      </c>
      <c r="F19" s="19" t="s">
        <v>118</v>
      </c>
      <c r="G19" s="20" t="s">
        <v>173</v>
      </c>
      <c r="H19" s="20" t="s">
        <v>157</v>
      </c>
    </row>
    <row r="20" spans="1:8" ht="164.25" customHeight="1" x14ac:dyDescent="0.2">
      <c r="A20" s="4">
        <v>17</v>
      </c>
      <c r="B20" s="20" t="s">
        <v>169</v>
      </c>
      <c r="C20" s="20" t="s">
        <v>174</v>
      </c>
      <c r="D20" s="20" t="s">
        <v>175</v>
      </c>
      <c r="E20" s="20" t="s">
        <v>172</v>
      </c>
      <c r="F20" s="19" t="s">
        <v>118</v>
      </c>
      <c r="G20" s="20" t="s">
        <v>173</v>
      </c>
      <c r="H20" s="20" t="s">
        <v>157</v>
      </c>
    </row>
    <row r="21" spans="1:8" ht="350.25" customHeight="1" x14ac:dyDescent="0.2">
      <c r="A21" s="4">
        <v>18</v>
      </c>
      <c r="B21" s="20" t="s">
        <v>176</v>
      </c>
      <c r="C21" s="20" t="s">
        <v>177</v>
      </c>
      <c r="D21" s="20" t="s">
        <v>178</v>
      </c>
      <c r="E21" s="20" t="s">
        <v>179</v>
      </c>
      <c r="F21" s="19" t="s">
        <v>118</v>
      </c>
      <c r="G21" s="20" t="s">
        <v>166</v>
      </c>
      <c r="H21" s="20" t="s">
        <v>134</v>
      </c>
    </row>
    <row r="22" spans="1:8" ht="306.75" customHeight="1" x14ac:dyDescent="0.2">
      <c r="A22" s="4">
        <v>19</v>
      </c>
      <c r="B22" s="20" t="s">
        <v>176</v>
      </c>
      <c r="C22" s="20" t="s">
        <v>180</v>
      </c>
      <c r="D22" s="20" t="s">
        <v>352</v>
      </c>
      <c r="E22" s="20" t="s">
        <v>318</v>
      </c>
      <c r="F22" s="19" t="s">
        <v>118</v>
      </c>
      <c r="G22" s="20" t="s">
        <v>181</v>
      </c>
      <c r="H22" s="20" t="s">
        <v>134</v>
      </c>
    </row>
    <row r="23" spans="1:8" ht="171.75" customHeight="1" x14ac:dyDescent="0.2">
      <c r="A23" s="4">
        <v>20</v>
      </c>
      <c r="B23" s="20" t="s">
        <v>182</v>
      </c>
      <c r="C23" s="20" t="s">
        <v>183</v>
      </c>
      <c r="D23" s="20" t="s">
        <v>184</v>
      </c>
      <c r="E23" s="20" t="s">
        <v>156</v>
      </c>
      <c r="F23" s="19" t="s">
        <v>118</v>
      </c>
      <c r="G23" s="20" t="s">
        <v>181</v>
      </c>
      <c r="H23" s="20" t="s">
        <v>140</v>
      </c>
    </row>
    <row r="24" spans="1:8" ht="373.5" customHeight="1" x14ac:dyDescent="0.2">
      <c r="A24" s="4">
        <v>21</v>
      </c>
      <c r="B24" s="20" t="s">
        <v>187</v>
      </c>
      <c r="C24" s="20" t="s">
        <v>191</v>
      </c>
      <c r="D24" s="12" t="s">
        <v>320</v>
      </c>
      <c r="E24" s="20" t="s">
        <v>156</v>
      </c>
      <c r="F24" s="19" t="s">
        <v>118</v>
      </c>
      <c r="G24" s="19" t="s">
        <v>417</v>
      </c>
      <c r="H24" s="20" t="s">
        <v>149</v>
      </c>
    </row>
    <row r="25" spans="1:8" ht="103.5" customHeight="1" x14ac:dyDescent="0.2">
      <c r="A25" s="4">
        <v>22</v>
      </c>
      <c r="B25" s="20" t="s">
        <v>262</v>
      </c>
      <c r="C25" s="20" t="s">
        <v>263</v>
      </c>
      <c r="D25" s="20" t="s">
        <v>264</v>
      </c>
      <c r="E25" s="20" t="s">
        <v>298</v>
      </c>
      <c r="F25" s="19" t="s">
        <v>118</v>
      </c>
      <c r="G25" s="20" t="s">
        <v>265</v>
      </c>
      <c r="H25" s="20" t="s">
        <v>27</v>
      </c>
    </row>
    <row r="26" spans="1:8" s="8" customFormat="1" ht="309.75" customHeight="1" x14ac:dyDescent="0.2">
      <c r="A26" s="4">
        <v>23</v>
      </c>
      <c r="B26" s="5" t="s">
        <v>359</v>
      </c>
      <c r="C26" s="5" t="s">
        <v>360</v>
      </c>
      <c r="D26" s="5" t="s">
        <v>361</v>
      </c>
      <c r="E26" s="5" t="s">
        <v>362</v>
      </c>
      <c r="F26" s="19" t="s">
        <v>119</v>
      </c>
      <c r="G26" s="5" t="s">
        <v>363</v>
      </c>
      <c r="H26" s="5" t="s">
        <v>157</v>
      </c>
    </row>
    <row r="27" spans="1:8" ht="296.25" customHeight="1" x14ac:dyDescent="0.2">
      <c r="A27" s="4">
        <v>24</v>
      </c>
      <c r="B27" s="7" t="s">
        <v>364</v>
      </c>
      <c r="C27" s="7" t="s">
        <v>365</v>
      </c>
      <c r="D27" s="5" t="s">
        <v>366</v>
      </c>
      <c r="E27" s="20" t="s">
        <v>210</v>
      </c>
      <c r="F27" s="37" t="s">
        <v>119</v>
      </c>
      <c r="G27" s="5" t="s">
        <v>145</v>
      </c>
      <c r="H27" s="5" t="s">
        <v>75</v>
      </c>
    </row>
    <row r="28" spans="1:8" ht="271.5" customHeight="1" x14ac:dyDescent="0.2">
      <c r="A28" s="4">
        <v>25</v>
      </c>
      <c r="B28" s="5" t="s">
        <v>29</v>
      </c>
      <c r="C28" s="20" t="s">
        <v>367</v>
      </c>
      <c r="D28" s="20" t="s">
        <v>368</v>
      </c>
      <c r="E28" s="20" t="s">
        <v>369</v>
      </c>
      <c r="F28" s="19" t="s">
        <v>119</v>
      </c>
      <c r="G28" s="20" t="s">
        <v>369</v>
      </c>
      <c r="H28" s="20" t="s">
        <v>78</v>
      </c>
    </row>
    <row r="29" spans="1:8" ht="75" customHeight="1" x14ac:dyDescent="0.2">
      <c r="A29" s="4">
        <v>26</v>
      </c>
      <c r="B29" s="20" t="s">
        <v>36</v>
      </c>
      <c r="C29" s="20" t="s">
        <v>57</v>
      </c>
      <c r="D29" s="20" t="s">
        <v>76</v>
      </c>
      <c r="E29" s="20" t="s">
        <v>298</v>
      </c>
      <c r="F29" s="19" t="s">
        <v>119</v>
      </c>
      <c r="G29" s="20" t="s">
        <v>28</v>
      </c>
      <c r="H29" s="20" t="s">
        <v>27</v>
      </c>
    </row>
    <row r="30" spans="1:8" ht="294.75" customHeight="1" x14ac:dyDescent="0.2">
      <c r="A30" s="4">
        <v>27</v>
      </c>
      <c r="B30" s="20" t="s">
        <v>41</v>
      </c>
      <c r="C30" s="20" t="s">
        <v>120</v>
      </c>
      <c r="D30" s="20" t="s">
        <v>311</v>
      </c>
      <c r="E30" s="20" t="s">
        <v>121</v>
      </c>
      <c r="F30" s="19" t="s">
        <v>119</v>
      </c>
      <c r="G30" s="20" t="s">
        <v>122</v>
      </c>
      <c r="H30" s="20" t="s">
        <v>123</v>
      </c>
    </row>
    <row r="31" spans="1:8" ht="263.25" customHeight="1" x14ac:dyDescent="0.2">
      <c r="A31" s="4">
        <v>28</v>
      </c>
      <c r="B31" s="20" t="s">
        <v>45</v>
      </c>
      <c r="C31" s="20" t="s">
        <v>47</v>
      </c>
      <c r="D31" s="20" t="s">
        <v>71</v>
      </c>
      <c r="E31" s="20" t="s">
        <v>298</v>
      </c>
      <c r="F31" s="19" t="s">
        <v>119</v>
      </c>
      <c r="G31" s="20" t="s">
        <v>7</v>
      </c>
      <c r="H31" s="20" t="s">
        <v>22</v>
      </c>
    </row>
    <row r="32" spans="1:8" ht="234" customHeight="1" x14ac:dyDescent="0.2">
      <c r="A32" s="4">
        <v>29</v>
      </c>
      <c r="B32" s="20" t="s">
        <v>49</v>
      </c>
      <c r="C32" s="20" t="s">
        <v>59</v>
      </c>
      <c r="D32" s="20" t="s">
        <v>370</v>
      </c>
      <c r="E32" s="19" t="s">
        <v>298</v>
      </c>
      <c r="F32" s="19" t="s">
        <v>119</v>
      </c>
      <c r="G32" s="19" t="s">
        <v>418</v>
      </c>
      <c r="H32" s="20" t="s">
        <v>79</v>
      </c>
    </row>
    <row r="33" spans="1:8" ht="273" customHeight="1" x14ac:dyDescent="0.2">
      <c r="A33" s="4">
        <v>30</v>
      </c>
      <c r="B33" s="20" t="s">
        <v>129</v>
      </c>
      <c r="C33" s="20" t="s">
        <v>129</v>
      </c>
      <c r="D33" s="20" t="s">
        <v>306</v>
      </c>
      <c r="E33" s="20" t="s">
        <v>192</v>
      </c>
      <c r="F33" s="19" t="s">
        <v>119</v>
      </c>
      <c r="G33" s="20" t="s">
        <v>193</v>
      </c>
      <c r="H33" s="20" t="s">
        <v>194</v>
      </c>
    </row>
    <row r="34" spans="1:8" ht="81.75" customHeight="1" x14ac:dyDescent="0.2">
      <c r="A34" s="4">
        <v>31</v>
      </c>
      <c r="B34" s="20" t="s">
        <v>135</v>
      </c>
      <c r="C34" s="20" t="s">
        <v>195</v>
      </c>
      <c r="D34" s="20" t="s">
        <v>196</v>
      </c>
      <c r="E34" s="20" t="s">
        <v>138</v>
      </c>
      <c r="F34" s="19" t="s">
        <v>119</v>
      </c>
      <c r="G34" s="20" t="s">
        <v>145</v>
      </c>
      <c r="H34" s="20" t="s">
        <v>134</v>
      </c>
    </row>
    <row r="35" spans="1:8" ht="87.75" customHeight="1" x14ac:dyDescent="0.2">
      <c r="A35" s="4">
        <v>32</v>
      </c>
      <c r="B35" s="20" t="s">
        <v>135</v>
      </c>
      <c r="C35" s="20" t="s">
        <v>197</v>
      </c>
      <c r="D35" s="20" t="s">
        <v>198</v>
      </c>
      <c r="E35" s="20" t="s">
        <v>138</v>
      </c>
      <c r="F35" s="19" t="s">
        <v>119</v>
      </c>
      <c r="G35" s="20" t="s">
        <v>145</v>
      </c>
      <c r="H35" s="20" t="s">
        <v>134</v>
      </c>
    </row>
    <row r="36" spans="1:8" ht="88.5" customHeight="1" x14ac:dyDescent="0.2">
      <c r="A36" s="4">
        <v>33</v>
      </c>
      <c r="B36" s="20" t="s">
        <v>135</v>
      </c>
      <c r="C36" s="20" t="s">
        <v>199</v>
      </c>
      <c r="D36" s="20" t="s">
        <v>200</v>
      </c>
      <c r="E36" s="20" t="s">
        <v>138</v>
      </c>
      <c r="F36" s="19" t="s">
        <v>119</v>
      </c>
      <c r="G36" s="20" t="s">
        <v>145</v>
      </c>
      <c r="H36" s="20" t="s">
        <v>134</v>
      </c>
    </row>
    <row r="37" spans="1:8" ht="86.25" customHeight="1" x14ac:dyDescent="0.2">
      <c r="A37" s="4">
        <v>34</v>
      </c>
      <c r="B37" s="20" t="s">
        <v>135</v>
      </c>
      <c r="C37" s="20" t="s">
        <v>201</v>
      </c>
      <c r="D37" s="20" t="s">
        <v>202</v>
      </c>
      <c r="E37" s="20" t="s">
        <v>138</v>
      </c>
      <c r="F37" s="19" t="s">
        <v>119</v>
      </c>
      <c r="G37" s="20" t="s">
        <v>145</v>
      </c>
      <c r="H37" s="20" t="s">
        <v>134</v>
      </c>
    </row>
    <row r="38" spans="1:8" ht="161.25" customHeight="1" x14ac:dyDescent="0.2">
      <c r="A38" s="4">
        <v>35</v>
      </c>
      <c r="B38" s="20" t="s">
        <v>163</v>
      </c>
      <c r="C38" s="20" t="s">
        <v>203</v>
      </c>
      <c r="D38" s="20" t="s">
        <v>204</v>
      </c>
      <c r="E38" s="20" t="s">
        <v>156</v>
      </c>
      <c r="F38" s="19" t="s">
        <v>119</v>
      </c>
      <c r="G38" s="20" t="s">
        <v>166</v>
      </c>
      <c r="H38" s="20" t="s">
        <v>140</v>
      </c>
    </row>
    <row r="39" spans="1:8" ht="409.5" customHeight="1" x14ac:dyDescent="0.2">
      <c r="A39" s="4">
        <v>36</v>
      </c>
      <c r="B39" s="20" t="s">
        <v>135</v>
      </c>
      <c r="C39" s="20" t="s">
        <v>205</v>
      </c>
      <c r="D39" s="20" t="s">
        <v>206</v>
      </c>
      <c r="E39" s="12" t="s">
        <v>206</v>
      </c>
      <c r="F39" s="19" t="s">
        <v>119</v>
      </c>
      <c r="G39" s="20" t="s">
        <v>145</v>
      </c>
      <c r="H39" s="20" t="s">
        <v>140</v>
      </c>
    </row>
    <row r="40" spans="1:8" ht="116.25" customHeight="1" x14ac:dyDescent="0.2">
      <c r="A40" s="4">
        <v>37</v>
      </c>
      <c r="B40" s="20" t="s">
        <v>169</v>
      </c>
      <c r="C40" s="20" t="s">
        <v>215</v>
      </c>
      <c r="D40" s="20" t="s">
        <v>216</v>
      </c>
      <c r="E40" s="20" t="s">
        <v>217</v>
      </c>
      <c r="F40" s="19" t="s">
        <v>119</v>
      </c>
      <c r="G40" s="20" t="s">
        <v>145</v>
      </c>
      <c r="H40" s="20" t="s">
        <v>134</v>
      </c>
    </row>
    <row r="41" spans="1:8" ht="279.75" customHeight="1" x14ac:dyDescent="0.2">
      <c r="A41" s="4">
        <v>38</v>
      </c>
      <c r="B41" s="20" t="s">
        <v>176</v>
      </c>
      <c r="C41" s="20" t="s">
        <v>226</v>
      </c>
      <c r="D41" s="20" t="s">
        <v>227</v>
      </c>
      <c r="E41" s="20" t="s">
        <v>156</v>
      </c>
      <c r="F41" s="19" t="s">
        <v>119</v>
      </c>
      <c r="G41" s="20" t="s">
        <v>228</v>
      </c>
      <c r="H41" s="20" t="s">
        <v>134</v>
      </c>
    </row>
    <row r="42" spans="1:8" ht="315.75" customHeight="1" x14ac:dyDescent="0.2">
      <c r="A42" s="4">
        <v>39</v>
      </c>
      <c r="B42" s="20" t="s">
        <v>176</v>
      </c>
      <c r="C42" s="20" t="s">
        <v>229</v>
      </c>
      <c r="D42" s="20" t="s">
        <v>230</v>
      </c>
      <c r="E42" s="20" t="s">
        <v>156</v>
      </c>
      <c r="F42" s="19" t="s">
        <v>119</v>
      </c>
      <c r="G42" s="20" t="s">
        <v>231</v>
      </c>
      <c r="H42" s="20" t="s">
        <v>134</v>
      </c>
    </row>
    <row r="43" spans="1:8" ht="114" customHeight="1" x14ac:dyDescent="0.2">
      <c r="A43" s="4">
        <v>40</v>
      </c>
      <c r="B43" s="20" t="s">
        <v>285</v>
      </c>
      <c r="C43" s="20" t="s">
        <v>286</v>
      </c>
      <c r="D43" s="20" t="s">
        <v>309</v>
      </c>
      <c r="E43" s="20" t="s">
        <v>310</v>
      </c>
      <c r="F43" s="19" t="s">
        <v>119</v>
      </c>
      <c r="G43" s="19" t="s">
        <v>298</v>
      </c>
      <c r="H43" s="20" t="s">
        <v>283</v>
      </c>
    </row>
    <row r="44" spans="1:8" ht="114.75" customHeight="1" x14ac:dyDescent="0.2">
      <c r="A44" s="4">
        <v>41</v>
      </c>
      <c r="B44" s="20" t="s">
        <v>295</v>
      </c>
      <c r="C44" s="20" t="s">
        <v>296</v>
      </c>
      <c r="D44" s="20" t="s">
        <v>297</v>
      </c>
      <c r="E44" s="19" t="s">
        <v>298</v>
      </c>
      <c r="F44" s="19" t="s">
        <v>119</v>
      </c>
      <c r="G44" s="20" t="s">
        <v>299</v>
      </c>
      <c r="H44" s="20" t="s">
        <v>300</v>
      </c>
    </row>
    <row r="45" spans="1:8" ht="108" customHeight="1" x14ac:dyDescent="0.2">
      <c r="A45" s="4">
        <v>42</v>
      </c>
      <c r="B45" s="20" t="s">
        <v>295</v>
      </c>
      <c r="C45" s="20" t="s">
        <v>301</v>
      </c>
      <c r="D45" s="20" t="s">
        <v>302</v>
      </c>
      <c r="E45" s="19" t="s">
        <v>298</v>
      </c>
      <c r="F45" s="19" t="s">
        <v>119</v>
      </c>
      <c r="G45" s="20" t="s">
        <v>299</v>
      </c>
      <c r="H45" s="20" t="s">
        <v>300</v>
      </c>
    </row>
    <row r="46" spans="1:8" ht="110.25" customHeight="1" x14ac:dyDescent="0.2">
      <c r="A46" s="4">
        <v>43</v>
      </c>
      <c r="B46" s="20" t="s">
        <v>36</v>
      </c>
      <c r="C46" s="5" t="s">
        <v>371</v>
      </c>
      <c r="D46" s="22" t="s">
        <v>372</v>
      </c>
      <c r="E46" s="23" t="s">
        <v>298</v>
      </c>
      <c r="F46" s="23" t="s">
        <v>119</v>
      </c>
      <c r="G46" s="22" t="s">
        <v>28</v>
      </c>
      <c r="H46" s="22" t="s">
        <v>27</v>
      </c>
    </row>
    <row r="47" spans="1:8" ht="104.25" customHeight="1" x14ac:dyDescent="0.2">
      <c r="A47" s="4">
        <v>44</v>
      </c>
      <c r="B47" s="20" t="s">
        <v>36</v>
      </c>
      <c r="C47" s="22" t="s">
        <v>373</v>
      </c>
      <c r="D47" s="22" t="s">
        <v>374</v>
      </c>
      <c r="E47" s="23" t="s">
        <v>298</v>
      </c>
      <c r="F47" s="23" t="s">
        <v>119</v>
      </c>
      <c r="G47" s="22" t="s">
        <v>28</v>
      </c>
      <c r="H47" s="22" t="s">
        <v>27</v>
      </c>
    </row>
  </sheetData>
  <mergeCells count="2">
    <mergeCell ref="A1:H1"/>
    <mergeCell ref="A2:H2"/>
  </mergeCells>
  <hyperlinks>
    <hyperlink ref="D21" r:id="rId1" xr:uid="{00000000-0004-0000-0300-000000000000}"/>
  </hyperlinks>
  <pageMargins left="0.70866141732283472" right="0.70866141732283472" top="0.55118110236220474" bottom="0.55118110236220474" header="0.31496062992125984" footer="0.31496062992125984"/>
  <pageSetup paperSize="5" scale="74"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9"/>
  <sheetViews>
    <sheetView view="pageBreakPreview" zoomScale="70" zoomScaleSheetLayoutView="70" workbookViewId="0">
      <pane ySplit="3" topLeftCell="A5" activePane="bottomLeft" state="frozen"/>
      <selection pane="bottomLeft" activeCell="O5" sqref="N5:O5"/>
    </sheetView>
  </sheetViews>
  <sheetFormatPr defaultColWidth="9.33203125" defaultRowHeight="15.75" x14ac:dyDescent="0.2"/>
  <cols>
    <col min="1" max="1" width="8.5" style="3" customWidth="1"/>
    <col min="2" max="2" width="19.33203125" style="6" customWidth="1"/>
    <col min="3" max="3" width="17.83203125" style="2" customWidth="1"/>
    <col min="4" max="4" width="92.5" style="6" customWidth="1"/>
    <col min="5" max="5" width="40" style="2" customWidth="1"/>
    <col min="6" max="6" width="14.6640625" style="3" customWidth="1"/>
    <col min="7" max="7" width="26" style="2" customWidth="1"/>
    <col min="8" max="8" width="17.83203125" style="2" customWidth="1"/>
    <col min="9" max="16384" width="9.33203125" style="2"/>
  </cols>
  <sheetData>
    <row r="1" spans="1:8" ht="48" customHeight="1" x14ac:dyDescent="0.2">
      <c r="A1" s="45" t="s">
        <v>411</v>
      </c>
      <c r="B1" s="45"/>
      <c r="C1" s="45"/>
      <c r="D1" s="45"/>
      <c r="E1" s="45"/>
      <c r="F1" s="45"/>
      <c r="G1" s="45"/>
      <c r="H1" s="45"/>
    </row>
    <row r="2" spans="1:8" ht="48" customHeight="1" x14ac:dyDescent="0.2">
      <c r="A2" s="52" t="s">
        <v>321</v>
      </c>
      <c r="B2" s="52"/>
      <c r="C2" s="52"/>
      <c r="D2" s="52"/>
      <c r="E2" s="52"/>
      <c r="F2" s="52"/>
      <c r="G2" s="52"/>
      <c r="H2" s="52"/>
    </row>
    <row r="3" spans="1:8" s="8" customFormat="1" ht="89.25" customHeight="1" x14ac:dyDescent="0.2">
      <c r="A3" s="7" t="s">
        <v>11</v>
      </c>
      <c r="B3" s="7" t="s">
        <v>12</v>
      </c>
      <c r="C3" s="7" t="s">
        <v>13</v>
      </c>
      <c r="D3" s="7" t="s">
        <v>14</v>
      </c>
      <c r="E3" s="10" t="s">
        <v>15</v>
      </c>
      <c r="F3" s="7" t="s">
        <v>16</v>
      </c>
      <c r="G3" s="7" t="s">
        <v>1</v>
      </c>
      <c r="H3" s="7" t="s">
        <v>10</v>
      </c>
    </row>
    <row r="4" spans="1:8" ht="267.75" x14ac:dyDescent="0.2">
      <c r="A4" s="19">
        <v>1</v>
      </c>
      <c r="B4" s="20" t="s">
        <v>150</v>
      </c>
      <c r="C4" s="20" t="s">
        <v>353</v>
      </c>
      <c r="D4" s="20" t="s">
        <v>354</v>
      </c>
      <c r="E4" s="20" t="s">
        <v>213</v>
      </c>
      <c r="F4" s="19" t="s">
        <v>117</v>
      </c>
      <c r="G4" s="20" t="s">
        <v>145</v>
      </c>
      <c r="H4" s="20" t="s">
        <v>214</v>
      </c>
    </row>
    <row r="5" spans="1:8" ht="394.5" customHeight="1" x14ac:dyDescent="0.2">
      <c r="A5" s="19">
        <v>2</v>
      </c>
      <c r="B5" s="20" t="s">
        <v>150</v>
      </c>
      <c r="C5" s="20" t="s">
        <v>158</v>
      </c>
      <c r="D5" s="20" t="s">
        <v>409</v>
      </c>
      <c r="E5" s="20" t="s">
        <v>408</v>
      </c>
      <c r="F5" s="19" t="s">
        <v>119</v>
      </c>
      <c r="G5" s="20" t="s">
        <v>145</v>
      </c>
      <c r="H5" s="20" t="s">
        <v>416</v>
      </c>
    </row>
    <row r="6" spans="1:8" ht="363" customHeight="1" x14ac:dyDescent="0.2">
      <c r="A6" s="51">
        <v>3</v>
      </c>
      <c r="B6" s="51" t="s">
        <v>135</v>
      </c>
      <c r="C6" s="51" t="s">
        <v>205</v>
      </c>
      <c r="D6" s="53" t="s">
        <v>207</v>
      </c>
      <c r="E6" s="51" t="s">
        <v>208</v>
      </c>
      <c r="F6" s="51" t="s">
        <v>119</v>
      </c>
      <c r="G6" s="51" t="s">
        <v>145</v>
      </c>
      <c r="H6" s="51" t="s">
        <v>209</v>
      </c>
    </row>
    <row r="7" spans="1:8" ht="216" customHeight="1" x14ac:dyDescent="0.2">
      <c r="A7" s="51"/>
      <c r="B7" s="51"/>
      <c r="C7" s="51"/>
      <c r="D7" s="53"/>
      <c r="E7" s="51"/>
      <c r="F7" s="51"/>
      <c r="G7" s="51"/>
      <c r="H7" s="51"/>
    </row>
    <row r="8" spans="1:8" ht="351.75" customHeight="1" x14ac:dyDescent="0.2">
      <c r="A8" s="19">
        <v>4</v>
      </c>
      <c r="B8" s="20" t="s">
        <v>169</v>
      </c>
      <c r="C8" s="20" t="s">
        <v>211</v>
      </c>
      <c r="D8" s="20" t="s">
        <v>212</v>
      </c>
      <c r="E8" s="20" t="s">
        <v>213</v>
      </c>
      <c r="F8" s="19" t="s">
        <v>119</v>
      </c>
      <c r="G8" s="20" t="s">
        <v>145</v>
      </c>
      <c r="H8" s="20" t="s">
        <v>214</v>
      </c>
    </row>
    <row r="9" spans="1:8" ht="283.5" x14ac:dyDescent="0.2">
      <c r="A9" s="19">
        <v>5</v>
      </c>
      <c r="B9" s="20" t="s">
        <v>375</v>
      </c>
      <c r="C9" s="5" t="s">
        <v>376</v>
      </c>
      <c r="D9" s="20" t="s">
        <v>355</v>
      </c>
      <c r="E9" s="5" t="s">
        <v>356</v>
      </c>
      <c r="F9" s="19" t="s">
        <v>119</v>
      </c>
      <c r="G9" s="20" t="s">
        <v>357</v>
      </c>
      <c r="H9" s="20" t="s">
        <v>358</v>
      </c>
    </row>
  </sheetData>
  <mergeCells count="10">
    <mergeCell ref="A1:H1"/>
    <mergeCell ref="A2:H2"/>
    <mergeCell ref="G6:G7"/>
    <mergeCell ref="H6:H7"/>
    <mergeCell ref="A6:A7"/>
    <mergeCell ref="B6:B7"/>
    <mergeCell ref="C6:C7"/>
    <mergeCell ref="D6:D7"/>
    <mergeCell ref="E6:E7"/>
    <mergeCell ref="F6:F7"/>
  </mergeCells>
  <pageMargins left="0.43307086614173229" right="0.43307086614173229" top="0.55118110236220474" bottom="0.55118110236220474" header="0.31496062992125984" footer="0.31496062992125984"/>
  <pageSetup paperSize="5" scale="7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8"/>
  <sheetViews>
    <sheetView view="pageBreakPreview" zoomScale="85" zoomScaleNormal="70" zoomScaleSheetLayoutView="85" workbookViewId="0">
      <pane ySplit="3" topLeftCell="A42" activePane="bottomLeft" state="frozen"/>
      <selection pane="bottomLeft" activeCell="P47" sqref="O47:P47"/>
    </sheetView>
  </sheetViews>
  <sheetFormatPr defaultColWidth="9.33203125" defaultRowHeight="15.75" x14ac:dyDescent="0.2"/>
  <cols>
    <col min="1" max="1" width="7" style="3" customWidth="1"/>
    <col min="2" max="2" width="20" style="2" customWidth="1"/>
    <col min="3" max="3" width="22.83203125" style="2" customWidth="1"/>
    <col min="4" max="4" width="87.33203125" style="2" customWidth="1"/>
    <col min="5" max="5" width="36.1640625" style="2" customWidth="1"/>
    <col min="6" max="6" width="16" style="3" customWidth="1"/>
    <col min="7" max="7" width="29.1640625" style="2" customWidth="1"/>
    <col min="8" max="8" width="23.83203125" style="2" customWidth="1"/>
    <col min="9" max="16384" width="9.33203125" style="2"/>
  </cols>
  <sheetData>
    <row r="1" spans="1:8" ht="57.75" customHeight="1" x14ac:dyDescent="0.2">
      <c r="A1" s="45" t="s">
        <v>411</v>
      </c>
      <c r="B1" s="45"/>
      <c r="C1" s="45"/>
      <c r="D1" s="45"/>
      <c r="E1" s="45"/>
      <c r="F1" s="45"/>
      <c r="G1" s="45"/>
      <c r="H1" s="45"/>
    </row>
    <row r="2" spans="1:8" ht="54" customHeight="1" x14ac:dyDescent="0.2">
      <c r="A2" s="45" t="s">
        <v>322</v>
      </c>
      <c r="B2" s="46"/>
      <c r="C2" s="46"/>
      <c r="D2" s="46"/>
      <c r="E2" s="46"/>
      <c r="F2" s="46"/>
      <c r="G2" s="46"/>
      <c r="H2" s="46"/>
    </row>
    <row r="3" spans="1:8" s="8" customFormat="1" ht="75" customHeight="1" x14ac:dyDescent="0.2">
      <c r="A3" s="7" t="s">
        <v>11</v>
      </c>
      <c r="B3" s="7" t="s">
        <v>12</v>
      </c>
      <c r="C3" s="7" t="s">
        <v>13</v>
      </c>
      <c r="D3" s="7" t="s">
        <v>14</v>
      </c>
      <c r="E3" s="7" t="s">
        <v>15</v>
      </c>
      <c r="F3" s="7" t="s">
        <v>16</v>
      </c>
      <c r="G3" s="7" t="s">
        <v>1</v>
      </c>
      <c r="H3" s="7" t="s">
        <v>9</v>
      </c>
    </row>
    <row r="4" spans="1:8" ht="409.5" x14ac:dyDescent="0.2">
      <c r="A4" s="4">
        <v>1</v>
      </c>
      <c r="B4" s="5" t="s">
        <v>80</v>
      </c>
      <c r="C4" s="5" t="s">
        <v>81</v>
      </c>
      <c r="D4" s="5" t="s">
        <v>101</v>
      </c>
      <c r="E4" s="5" t="s">
        <v>82</v>
      </c>
      <c r="F4" s="19" t="s">
        <v>117</v>
      </c>
      <c r="G4" s="5" t="s">
        <v>83</v>
      </c>
      <c r="H4" s="5" t="s">
        <v>84</v>
      </c>
    </row>
    <row r="5" spans="1:8" ht="267" customHeight="1" x14ac:dyDescent="0.2">
      <c r="A5" s="4">
        <v>2</v>
      </c>
      <c r="B5" s="27" t="s">
        <v>39</v>
      </c>
      <c r="C5" s="27" t="s">
        <v>382</v>
      </c>
      <c r="D5" s="27" t="s">
        <v>412</v>
      </c>
      <c r="E5" s="27" t="s">
        <v>383</v>
      </c>
      <c r="F5" s="28" t="s">
        <v>117</v>
      </c>
      <c r="G5" s="27" t="s">
        <v>395</v>
      </c>
      <c r="H5" s="27" t="s">
        <v>384</v>
      </c>
    </row>
    <row r="6" spans="1:8" ht="318" customHeight="1" x14ac:dyDescent="0.2">
      <c r="A6" s="4">
        <v>3</v>
      </c>
      <c r="B6" s="5" t="s">
        <v>129</v>
      </c>
      <c r="C6" s="5" t="s">
        <v>130</v>
      </c>
      <c r="D6" s="5" t="s">
        <v>131</v>
      </c>
      <c r="E6" s="32" t="s">
        <v>132</v>
      </c>
      <c r="F6" s="19" t="s">
        <v>117</v>
      </c>
      <c r="G6" s="5" t="s">
        <v>133</v>
      </c>
      <c r="H6" s="5" t="s">
        <v>134</v>
      </c>
    </row>
    <row r="7" spans="1:8" ht="409.5" x14ac:dyDescent="0.2">
      <c r="A7" s="4">
        <v>4</v>
      </c>
      <c r="B7" s="5" t="s">
        <v>146</v>
      </c>
      <c r="C7" s="5" t="s">
        <v>147</v>
      </c>
      <c r="D7" s="5" t="s">
        <v>304</v>
      </c>
      <c r="E7" s="5" t="s">
        <v>144</v>
      </c>
      <c r="F7" s="19" t="s">
        <v>117</v>
      </c>
      <c r="G7" s="5" t="s">
        <v>148</v>
      </c>
      <c r="H7" s="5" t="s">
        <v>149</v>
      </c>
    </row>
    <row r="8" spans="1:8" ht="390" x14ac:dyDescent="0.2">
      <c r="A8" s="4">
        <v>5</v>
      </c>
      <c r="B8" s="5" t="s">
        <v>150</v>
      </c>
      <c r="C8" s="5" t="s">
        <v>151</v>
      </c>
      <c r="D8" s="32" t="s">
        <v>303</v>
      </c>
      <c r="E8" s="5" t="s">
        <v>152</v>
      </c>
      <c r="F8" s="19" t="s">
        <v>117</v>
      </c>
      <c r="G8" s="5" t="s">
        <v>153</v>
      </c>
      <c r="H8" s="5" t="s">
        <v>149</v>
      </c>
    </row>
    <row r="9" spans="1:8" ht="306" customHeight="1" x14ac:dyDescent="0.2">
      <c r="A9" s="4">
        <v>6</v>
      </c>
      <c r="B9" s="5" t="s">
        <v>150</v>
      </c>
      <c r="C9" s="5" t="s">
        <v>348</v>
      </c>
      <c r="D9" s="24" t="s">
        <v>413</v>
      </c>
      <c r="E9" s="31" t="s">
        <v>399</v>
      </c>
      <c r="F9" s="19" t="s">
        <v>118</v>
      </c>
      <c r="G9" s="5" t="s">
        <v>153</v>
      </c>
      <c r="H9" s="5" t="s">
        <v>149</v>
      </c>
    </row>
    <row r="10" spans="1:8" ht="409.5" customHeight="1" x14ac:dyDescent="0.2">
      <c r="A10" s="4">
        <v>7</v>
      </c>
      <c r="B10" s="5" t="s">
        <v>150</v>
      </c>
      <c r="C10" s="5" t="s">
        <v>404</v>
      </c>
      <c r="D10" s="16" t="s">
        <v>405</v>
      </c>
      <c r="E10" s="5" t="s">
        <v>406</v>
      </c>
      <c r="F10" s="19" t="s">
        <v>119</v>
      </c>
      <c r="G10" s="20" t="s">
        <v>247</v>
      </c>
      <c r="H10" s="20" t="s">
        <v>27</v>
      </c>
    </row>
    <row r="11" spans="1:8" ht="225.75" customHeight="1" x14ac:dyDescent="0.2">
      <c r="A11" s="4">
        <v>8</v>
      </c>
      <c r="B11" s="20" t="s">
        <v>36</v>
      </c>
      <c r="C11" s="20" t="s">
        <v>37</v>
      </c>
      <c r="D11" s="20" t="s">
        <v>66</v>
      </c>
      <c r="E11" s="20" t="s">
        <v>298</v>
      </c>
      <c r="F11" s="19" t="s">
        <v>118</v>
      </c>
      <c r="G11" s="20" t="s">
        <v>4</v>
      </c>
      <c r="H11" s="20" t="s">
        <v>27</v>
      </c>
    </row>
    <row r="12" spans="1:8" ht="228" customHeight="1" x14ac:dyDescent="0.2">
      <c r="A12" s="4">
        <v>9</v>
      </c>
      <c r="B12" s="20" t="s">
        <v>36</v>
      </c>
      <c r="C12" s="20" t="s">
        <v>38</v>
      </c>
      <c r="D12" s="20" t="s">
        <v>67</v>
      </c>
      <c r="E12" s="20" t="s">
        <v>298</v>
      </c>
      <c r="F12" s="19" t="s">
        <v>118</v>
      </c>
      <c r="G12" s="20" t="s">
        <v>4</v>
      </c>
      <c r="H12" s="20" t="s">
        <v>27</v>
      </c>
    </row>
    <row r="13" spans="1:8" ht="282.75" customHeight="1" x14ac:dyDescent="0.2">
      <c r="A13" s="4">
        <v>10</v>
      </c>
      <c r="B13" s="20" t="s">
        <v>41</v>
      </c>
      <c r="C13" s="20" t="s">
        <v>42</v>
      </c>
      <c r="D13" s="20" t="s">
        <v>68</v>
      </c>
      <c r="E13" s="20" t="s">
        <v>33</v>
      </c>
      <c r="F13" s="19" t="s">
        <v>118</v>
      </c>
      <c r="G13" s="20" t="s">
        <v>5</v>
      </c>
      <c r="H13" s="20" t="s">
        <v>19</v>
      </c>
    </row>
    <row r="14" spans="1:8" ht="245.25" customHeight="1" x14ac:dyDescent="0.2">
      <c r="A14" s="4">
        <v>11</v>
      </c>
      <c r="B14" s="20" t="s">
        <v>41</v>
      </c>
      <c r="C14" s="20" t="s">
        <v>43</v>
      </c>
      <c r="D14" s="20" t="s">
        <v>69</v>
      </c>
      <c r="E14" s="20" t="s">
        <v>55</v>
      </c>
      <c r="F14" s="19" t="s">
        <v>118</v>
      </c>
      <c r="G14" s="12" t="s">
        <v>2</v>
      </c>
      <c r="H14" s="20" t="s">
        <v>20</v>
      </c>
    </row>
    <row r="15" spans="1:8" ht="341.25" customHeight="1" x14ac:dyDescent="0.2">
      <c r="A15" s="4">
        <v>12</v>
      </c>
      <c r="B15" s="20" t="s">
        <v>182</v>
      </c>
      <c r="C15" s="20" t="s">
        <v>185</v>
      </c>
      <c r="D15" s="5" t="s">
        <v>186</v>
      </c>
      <c r="E15" s="20" t="s">
        <v>156</v>
      </c>
      <c r="F15" s="19" t="s">
        <v>118</v>
      </c>
      <c r="G15" s="20" t="s">
        <v>181</v>
      </c>
      <c r="H15" s="20" t="s">
        <v>415</v>
      </c>
    </row>
    <row r="16" spans="1:8" ht="348" customHeight="1" x14ac:dyDescent="0.2">
      <c r="A16" s="4">
        <v>13</v>
      </c>
      <c r="B16" s="20" t="s">
        <v>232</v>
      </c>
      <c r="C16" s="20" t="s">
        <v>233</v>
      </c>
      <c r="D16" s="9" t="s">
        <v>414</v>
      </c>
      <c r="E16" s="20" t="s">
        <v>234</v>
      </c>
      <c r="F16" s="19" t="s">
        <v>118</v>
      </c>
      <c r="G16" s="20" t="s">
        <v>235</v>
      </c>
      <c r="H16" s="20" t="s">
        <v>236</v>
      </c>
    </row>
    <row r="17" spans="1:8" ht="258" customHeight="1" x14ac:dyDescent="0.2">
      <c r="A17" s="4">
        <v>14</v>
      </c>
      <c r="B17" s="20" t="s">
        <v>244</v>
      </c>
      <c r="C17" s="20" t="s">
        <v>245</v>
      </c>
      <c r="D17" s="20" t="s">
        <v>305</v>
      </c>
      <c r="E17" s="20" t="s">
        <v>246</v>
      </c>
      <c r="F17" s="19" t="s">
        <v>118</v>
      </c>
      <c r="G17" s="20" t="s">
        <v>247</v>
      </c>
      <c r="H17" s="20" t="s">
        <v>248</v>
      </c>
    </row>
    <row r="18" spans="1:8" ht="399.75" customHeight="1" x14ac:dyDescent="0.2">
      <c r="A18" s="4">
        <v>15</v>
      </c>
      <c r="B18" s="20" t="s">
        <v>249</v>
      </c>
      <c r="C18" s="20" t="s">
        <v>250</v>
      </c>
      <c r="D18" s="20" t="s">
        <v>251</v>
      </c>
      <c r="E18" s="20" t="s">
        <v>252</v>
      </c>
      <c r="F18" s="19" t="s">
        <v>118</v>
      </c>
      <c r="G18" s="20" t="s">
        <v>253</v>
      </c>
      <c r="H18" s="20" t="s">
        <v>254</v>
      </c>
    </row>
    <row r="19" spans="1:8" ht="157.5" x14ac:dyDescent="0.2">
      <c r="A19" s="4">
        <v>16</v>
      </c>
      <c r="B19" s="20" t="s">
        <v>249</v>
      </c>
      <c r="C19" s="20" t="s">
        <v>250</v>
      </c>
      <c r="D19" s="20" t="s">
        <v>255</v>
      </c>
      <c r="E19" s="20" t="s">
        <v>256</v>
      </c>
      <c r="F19" s="19" t="s">
        <v>118</v>
      </c>
      <c r="G19" s="20" t="s">
        <v>247</v>
      </c>
      <c r="H19" s="20" t="s">
        <v>248</v>
      </c>
    </row>
    <row r="20" spans="1:8" ht="157.5" x14ac:dyDescent="0.2">
      <c r="A20" s="4">
        <v>17</v>
      </c>
      <c r="B20" s="20" t="s">
        <v>249</v>
      </c>
      <c r="C20" s="20" t="s">
        <v>257</v>
      </c>
      <c r="D20" s="20" t="s">
        <v>258</v>
      </c>
      <c r="E20" s="20" t="s">
        <v>256</v>
      </c>
      <c r="F20" s="19" t="s">
        <v>118</v>
      </c>
      <c r="G20" s="20" t="s">
        <v>247</v>
      </c>
      <c r="H20" s="20" t="s">
        <v>248</v>
      </c>
    </row>
    <row r="21" spans="1:8" ht="280.5" customHeight="1" x14ac:dyDescent="0.2">
      <c r="A21" s="4">
        <v>18</v>
      </c>
      <c r="B21" s="20" t="s">
        <v>249</v>
      </c>
      <c r="C21" s="20" t="s">
        <v>259</v>
      </c>
      <c r="D21" s="20" t="s">
        <v>260</v>
      </c>
      <c r="E21" s="20" t="s">
        <v>261</v>
      </c>
      <c r="F21" s="19" t="s">
        <v>118</v>
      </c>
      <c r="G21" s="20" t="s">
        <v>317</v>
      </c>
      <c r="H21" s="20" t="s">
        <v>27</v>
      </c>
    </row>
    <row r="22" spans="1:8" ht="267" customHeight="1" x14ac:dyDescent="0.2">
      <c r="A22" s="4">
        <v>19</v>
      </c>
      <c r="B22" s="5" t="s">
        <v>377</v>
      </c>
      <c r="C22" s="5" t="s">
        <v>378</v>
      </c>
      <c r="D22" s="5" t="s">
        <v>379</v>
      </c>
      <c r="E22" s="5" t="s">
        <v>380</v>
      </c>
      <c r="F22" s="19" t="s">
        <v>119</v>
      </c>
      <c r="G22" s="5" t="s">
        <v>381</v>
      </c>
      <c r="H22" s="5" t="s">
        <v>157</v>
      </c>
    </row>
    <row r="23" spans="1:8" ht="308.25" customHeight="1" x14ac:dyDescent="0.2">
      <c r="A23" s="4">
        <v>20</v>
      </c>
      <c r="B23" s="5" t="s">
        <v>375</v>
      </c>
      <c r="C23" s="5" t="s">
        <v>385</v>
      </c>
      <c r="D23" s="5" t="s">
        <v>355</v>
      </c>
      <c r="E23" s="20" t="s">
        <v>356</v>
      </c>
      <c r="F23" s="19" t="s">
        <v>119</v>
      </c>
      <c r="G23" s="5" t="s">
        <v>357</v>
      </c>
      <c r="H23" s="20" t="s">
        <v>358</v>
      </c>
    </row>
    <row r="24" spans="1:8" ht="240.75" customHeight="1" x14ac:dyDescent="0.2">
      <c r="A24" s="4">
        <v>21</v>
      </c>
      <c r="B24" s="20" t="s">
        <v>80</v>
      </c>
      <c r="C24" s="20" t="s">
        <v>85</v>
      </c>
      <c r="D24" s="20" t="s">
        <v>110</v>
      </c>
      <c r="E24" s="20" t="s">
        <v>86</v>
      </c>
      <c r="F24" s="19" t="s">
        <v>119</v>
      </c>
      <c r="G24" s="20" t="s">
        <v>83</v>
      </c>
      <c r="H24" s="19" t="s">
        <v>389</v>
      </c>
    </row>
    <row r="25" spans="1:8" ht="198.75" customHeight="1" x14ac:dyDescent="0.2">
      <c r="A25" s="4">
        <v>22</v>
      </c>
      <c r="B25" s="20" t="s">
        <v>80</v>
      </c>
      <c r="C25" s="20" t="s">
        <v>87</v>
      </c>
      <c r="D25" s="20" t="s">
        <v>88</v>
      </c>
      <c r="E25" s="20" t="s">
        <v>407</v>
      </c>
      <c r="F25" s="19" t="s">
        <v>119</v>
      </c>
      <c r="G25" s="20" t="s">
        <v>89</v>
      </c>
      <c r="H25" s="19" t="s">
        <v>389</v>
      </c>
    </row>
    <row r="26" spans="1:8" ht="409.5" x14ac:dyDescent="0.2">
      <c r="A26" s="4">
        <v>23</v>
      </c>
      <c r="B26" s="19" t="s">
        <v>80</v>
      </c>
      <c r="C26" s="19" t="s">
        <v>90</v>
      </c>
      <c r="D26" s="16" t="s">
        <v>111</v>
      </c>
      <c r="E26" s="19" t="s">
        <v>91</v>
      </c>
      <c r="F26" s="19" t="s">
        <v>119</v>
      </c>
      <c r="G26" s="19" t="s">
        <v>92</v>
      </c>
      <c r="H26" s="19" t="s">
        <v>93</v>
      </c>
    </row>
    <row r="27" spans="1:8" ht="409.5" x14ac:dyDescent="0.2">
      <c r="A27" s="4">
        <v>24</v>
      </c>
      <c r="B27" s="19" t="s">
        <v>80</v>
      </c>
      <c r="C27" s="19" t="s">
        <v>386</v>
      </c>
      <c r="D27" s="16" t="s">
        <v>396</v>
      </c>
      <c r="E27" s="19" t="s">
        <v>387</v>
      </c>
      <c r="F27" s="19" t="s">
        <v>119</v>
      </c>
      <c r="G27" s="19" t="s">
        <v>388</v>
      </c>
      <c r="H27" s="19" t="s">
        <v>389</v>
      </c>
    </row>
    <row r="28" spans="1:8" ht="362.25" x14ac:dyDescent="0.2">
      <c r="A28" s="4">
        <v>25</v>
      </c>
      <c r="B28" s="20" t="s">
        <v>80</v>
      </c>
      <c r="C28" s="20" t="s">
        <v>94</v>
      </c>
      <c r="D28" s="20" t="s">
        <v>112</v>
      </c>
      <c r="E28" s="20" t="s">
        <v>95</v>
      </c>
      <c r="F28" s="19" t="s">
        <v>119</v>
      </c>
      <c r="G28" s="20" t="s">
        <v>92</v>
      </c>
      <c r="H28" s="19" t="s">
        <v>389</v>
      </c>
    </row>
    <row r="29" spans="1:8" ht="233.25" customHeight="1" x14ac:dyDescent="0.2">
      <c r="A29" s="4">
        <v>26</v>
      </c>
      <c r="B29" s="20" t="s">
        <v>41</v>
      </c>
      <c r="C29" s="20" t="s">
        <v>44</v>
      </c>
      <c r="D29" s="20" t="s">
        <v>114</v>
      </c>
      <c r="E29" s="20" t="s">
        <v>58</v>
      </c>
      <c r="F29" s="19" t="s">
        <v>119</v>
      </c>
      <c r="G29" s="20" t="s">
        <v>24</v>
      </c>
      <c r="H29" s="20" t="s">
        <v>25</v>
      </c>
    </row>
    <row r="30" spans="1:8" ht="196.5" customHeight="1" x14ac:dyDescent="0.2">
      <c r="A30" s="4">
        <v>27</v>
      </c>
      <c r="B30" s="20" t="s">
        <v>41</v>
      </c>
      <c r="C30" s="20" t="s">
        <v>115</v>
      </c>
      <c r="D30" s="20" t="s">
        <v>116</v>
      </c>
      <c r="E30" s="20" t="s">
        <v>60</v>
      </c>
      <c r="F30" s="19" t="s">
        <v>119</v>
      </c>
      <c r="G30" s="20"/>
      <c r="H30" s="20" t="s">
        <v>26</v>
      </c>
    </row>
    <row r="31" spans="1:8" ht="236.25" x14ac:dyDescent="0.2">
      <c r="A31" s="4">
        <v>28</v>
      </c>
      <c r="B31" s="20" t="s">
        <v>218</v>
      </c>
      <c r="C31" s="20" t="s">
        <v>219</v>
      </c>
      <c r="D31" s="20" t="s">
        <v>220</v>
      </c>
      <c r="E31" s="20" t="s">
        <v>221</v>
      </c>
      <c r="F31" s="19" t="s">
        <v>119</v>
      </c>
      <c r="G31" s="20" t="s">
        <v>222</v>
      </c>
      <c r="H31" s="20" t="s">
        <v>134</v>
      </c>
    </row>
    <row r="32" spans="1:8" ht="233.25" customHeight="1" x14ac:dyDescent="0.2">
      <c r="A32" s="4">
        <v>29</v>
      </c>
      <c r="B32" s="20" t="s">
        <v>223</v>
      </c>
      <c r="C32" s="20" t="s">
        <v>224</v>
      </c>
      <c r="D32" s="20" t="s">
        <v>225</v>
      </c>
      <c r="E32" s="20" t="s">
        <v>419</v>
      </c>
      <c r="F32" s="19" t="s">
        <v>119</v>
      </c>
      <c r="G32" s="20" t="s">
        <v>222</v>
      </c>
      <c r="H32" s="20" t="s">
        <v>134</v>
      </c>
    </row>
    <row r="33" spans="1:8" ht="171" customHeight="1" x14ac:dyDescent="0.2">
      <c r="A33" s="4">
        <v>30</v>
      </c>
      <c r="B33" s="20" t="s">
        <v>237</v>
      </c>
      <c r="C33" s="20" t="s">
        <v>238</v>
      </c>
      <c r="D33" s="20" t="s">
        <v>312</v>
      </c>
      <c r="E33" s="20" t="s">
        <v>239</v>
      </c>
      <c r="F33" s="19" t="s">
        <v>119</v>
      </c>
      <c r="G33" s="20" t="s">
        <v>156</v>
      </c>
      <c r="H33" s="20" t="s">
        <v>27</v>
      </c>
    </row>
    <row r="34" spans="1:8" ht="168" customHeight="1" x14ac:dyDescent="0.2">
      <c r="A34" s="4">
        <v>31</v>
      </c>
      <c r="B34" s="25" t="s">
        <v>240</v>
      </c>
      <c r="C34" s="25" t="s">
        <v>242</v>
      </c>
      <c r="D34" s="25" t="s">
        <v>313</v>
      </c>
      <c r="E34" s="25" t="s">
        <v>239</v>
      </c>
      <c r="F34" s="26" t="s">
        <v>119</v>
      </c>
      <c r="G34" s="25" t="s">
        <v>166</v>
      </c>
      <c r="H34" s="25" t="s">
        <v>241</v>
      </c>
    </row>
    <row r="35" spans="1:8" ht="157.5" x14ac:dyDescent="0.2">
      <c r="A35" s="4">
        <v>32</v>
      </c>
      <c r="B35" s="25" t="s">
        <v>240</v>
      </c>
      <c r="C35" s="25" t="s">
        <v>242</v>
      </c>
      <c r="D35" s="25" t="s">
        <v>314</v>
      </c>
      <c r="E35" s="25" t="s">
        <v>239</v>
      </c>
      <c r="F35" s="26" t="s">
        <v>119</v>
      </c>
      <c r="G35" s="25" t="s">
        <v>166</v>
      </c>
      <c r="H35" s="25" t="s">
        <v>241</v>
      </c>
    </row>
    <row r="36" spans="1:8" ht="177.75" customHeight="1" x14ac:dyDescent="0.2">
      <c r="A36" s="4">
        <v>33</v>
      </c>
      <c r="B36" s="25" t="s">
        <v>240</v>
      </c>
      <c r="C36" s="25" t="s">
        <v>243</v>
      </c>
      <c r="D36" s="25" t="s">
        <v>315</v>
      </c>
      <c r="E36" s="25" t="s">
        <v>239</v>
      </c>
      <c r="F36" s="26" t="s">
        <v>119</v>
      </c>
      <c r="G36" s="25" t="s">
        <v>166</v>
      </c>
      <c r="H36" s="25" t="s">
        <v>241</v>
      </c>
    </row>
    <row r="37" spans="1:8" ht="173.25" x14ac:dyDescent="0.2">
      <c r="A37" s="4">
        <v>34</v>
      </c>
      <c r="B37" s="20" t="s">
        <v>266</v>
      </c>
      <c r="C37" s="20" t="s">
        <v>267</v>
      </c>
      <c r="D37" s="20" t="s">
        <v>268</v>
      </c>
      <c r="E37" s="20" t="s">
        <v>269</v>
      </c>
      <c r="F37" s="19" t="s">
        <v>119</v>
      </c>
      <c r="G37" s="20" t="s">
        <v>270</v>
      </c>
      <c r="H37" s="20" t="s">
        <v>271</v>
      </c>
    </row>
    <row r="38" spans="1:8" ht="139.5" customHeight="1" x14ac:dyDescent="0.2">
      <c r="A38" s="11">
        <v>35</v>
      </c>
      <c r="B38" s="20" t="s">
        <v>272</v>
      </c>
      <c r="C38" s="20" t="s">
        <v>273</v>
      </c>
      <c r="D38" s="20" t="s">
        <v>274</v>
      </c>
      <c r="E38" s="20" t="s">
        <v>275</v>
      </c>
      <c r="F38" s="19" t="s">
        <v>119</v>
      </c>
      <c r="G38" s="20" t="s">
        <v>275</v>
      </c>
      <c r="H38" s="20" t="s">
        <v>276</v>
      </c>
    </row>
    <row r="39" spans="1:8" ht="92.25" customHeight="1" x14ac:dyDescent="0.2">
      <c r="A39" s="51">
        <v>36</v>
      </c>
      <c r="B39" s="54" t="s">
        <v>272</v>
      </c>
      <c r="C39" s="54" t="s">
        <v>277</v>
      </c>
      <c r="D39" s="20" t="s">
        <v>278</v>
      </c>
      <c r="E39" s="20" t="s">
        <v>279</v>
      </c>
      <c r="F39" s="19" t="s">
        <v>119</v>
      </c>
      <c r="G39" s="20" t="s">
        <v>279</v>
      </c>
      <c r="H39" s="20" t="s">
        <v>276</v>
      </c>
    </row>
    <row r="40" spans="1:8" ht="85.5" customHeight="1" x14ac:dyDescent="0.2">
      <c r="A40" s="51"/>
      <c r="B40" s="54"/>
      <c r="C40" s="54"/>
      <c r="D40" s="20" t="s">
        <v>316</v>
      </c>
      <c r="E40" s="20" t="s">
        <v>280</v>
      </c>
      <c r="F40" s="19" t="s">
        <v>119</v>
      </c>
      <c r="G40" s="20" t="s">
        <v>280</v>
      </c>
      <c r="H40" s="20" t="s">
        <v>276</v>
      </c>
    </row>
    <row r="41" spans="1:8" ht="162" customHeight="1" x14ac:dyDescent="0.2">
      <c r="A41" s="29">
        <v>37</v>
      </c>
      <c r="B41" s="29" t="s">
        <v>272</v>
      </c>
      <c r="C41" s="29" t="s">
        <v>349</v>
      </c>
      <c r="D41" s="30" t="s">
        <v>397</v>
      </c>
      <c r="E41" s="30" t="s">
        <v>350</v>
      </c>
      <c r="F41" s="29" t="s">
        <v>119</v>
      </c>
      <c r="G41" s="30" t="s">
        <v>279</v>
      </c>
      <c r="H41" s="30" t="s">
        <v>276</v>
      </c>
    </row>
    <row r="42" spans="1:8" ht="173.25" customHeight="1" x14ac:dyDescent="0.2">
      <c r="A42" s="29">
        <v>38</v>
      </c>
      <c r="B42" s="29" t="s">
        <v>272</v>
      </c>
      <c r="C42" s="29" t="s">
        <v>351</v>
      </c>
      <c r="D42" s="30" t="s">
        <v>398</v>
      </c>
      <c r="E42" s="30" t="s">
        <v>350</v>
      </c>
      <c r="F42" s="29" t="s">
        <v>119</v>
      </c>
      <c r="G42" s="30" t="s">
        <v>279</v>
      </c>
      <c r="H42" s="30" t="s">
        <v>276</v>
      </c>
    </row>
    <row r="43" spans="1:8" ht="126" x14ac:dyDescent="0.2">
      <c r="A43" s="19">
        <v>39</v>
      </c>
      <c r="B43" s="20" t="s">
        <v>249</v>
      </c>
      <c r="C43" s="20" t="s">
        <v>281</v>
      </c>
      <c r="D43" s="20" t="s">
        <v>307</v>
      </c>
      <c r="E43" s="20" t="s">
        <v>282</v>
      </c>
      <c r="F43" s="19" t="s">
        <v>119</v>
      </c>
      <c r="G43" s="20" t="s">
        <v>298</v>
      </c>
      <c r="H43" s="20" t="s">
        <v>283</v>
      </c>
    </row>
    <row r="44" spans="1:8" ht="121.5" customHeight="1" x14ac:dyDescent="0.2">
      <c r="A44" s="11">
        <v>40</v>
      </c>
      <c r="B44" s="20" t="s">
        <v>249</v>
      </c>
      <c r="C44" s="20" t="s">
        <v>284</v>
      </c>
      <c r="D44" s="20" t="s">
        <v>308</v>
      </c>
      <c r="E44" s="20" t="s">
        <v>282</v>
      </c>
      <c r="F44" s="19" t="s">
        <v>119</v>
      </c>
      <c r="G44" s="20" t="s">
        <v>298</v>
      </c>
      <c r="H44" s="20" t="s">
        <v>283</v>
      </c>
    </row>
    <row r="45" spans="1:8" ht="397.5" customHeight="1" x14ac:dyDescent="0.2">
      <c r="A45" s="11">
        <v>41</v>
      </c>
      <c r="B45" s="20" t="s">
        <v>244</v>
      </c>
      <c r="C45" s="20" t="s">
        <v>287</v>
      </c>
      <c r="D45" s="55" t="s">
        <v>420</v>
      </c>
      <c r="E45" s="19" t="s">
        <v>288</v>
      </c>
      <c r="F45" s="19" t="s">
        <v>119</v>
      </c>
      <c r="G45" s="19" t="s">
        <v>298</v>
      </c>
      <c r="H45" s="19" t="s">
        <v>283</v>
      </c>
    </row>
    <row r="46" spans="1:8" ht="409.5" x14ac:dyDescent="0.2">
      <c r="A46" s="19">
        <v>42</v>
      </c>
      <c r="B46" s="20" t="s">
        <v>289</v>
      </c>
      <c r="C46" s="20" t="s">
        <v>289</v>
      </c>
      <c r="D46" s="12" t="s">
        <v>421</v>
      </c>
      <c r="E46" s="19" t="s">
        <v>288</v>
      </c>
      <c r="F46" s="19" t="s">
        <v>119</v>
      </c>
      <c r="G46" s="19" t="s">
        <v>298</v>
      </c>
      <c r="H46" s="19" t="s">
        <v>283</v>
      </c>
    </row>
    <row r="47" spans="1:8" ht="409.5" x14ac:dyDescent="0.2">
      <c r="A47" s="11">
        <v>43</v>
      </c>
      <c r="B47" s="20" t="s">
        <v>289</v>
      </c>
      <c r="C47" s="20" t="s">
        <v>290</v>
      </c>
      <c r="D47" s="55" t="s">
        <v>422</v>
      </c>
      <c r="E47" s="20" t="s">
        <v>291</v>
      </c>
      <c r="F47" s="19" t="s">
        <v>119</v>
      </c>
      <c r="G47" s="20" t="s">
        <v>298</v>
      </c>
      <c r="H47" s="20" t="s">
        <v>283</v>
      </c>
    </row>
    <row r="48" spans="1:8" ht="144" customHeight="1" x14ac:dyDescent="0.2">
      <c r="A48" s="19">
        <v>44</v>
      </c>
      <c r="B48" s="20" t="s">
        <v>262</v>
      </c>
      <c r="C48" s="20" t="s">
        <v>292</v>
      </c>
      <c r="D48" s="20" t="s">
        <v>293</v>
      </c>
      <c r="E48" s="20" t="s">
        <v>298</v>
      </c>
      <c r="F48" s="19" t="s">
        <v>119</v>
      </c>
      <c r="G48" s="20" t="s">
        <v>298</v>
      </c>
      <c r="H48" s="20" t="s">
        <v>294</v>
      </c>
    </row>
  </sheetData>
  <mergeCells count="5">
    <mergeCell ref="A39:A40"/>
    <mergeCell ref="B39:B40"/>
    <mergeCell ref="C39:C40"/>
    <mergeCell ref="A1:H1"/>
    <mergeCell ref="A2:H2"/>
  </mergeCells>
  <hyperlinks>
    <hyperlink ref="E9" r:id="rId1" xr:uid="{00000000-0004-0000-0500-000000000000}"/>
  </hyperlinks>
  <pageMargins left="0.70866141732283472" right="0.70866141732283472" top="0.74803149606299213" bottom="0.74803149606299213" header="0.31496062992125984" footer="0.31496062992125984"/>
  <pageSetup paperSize="5" scale="74" orientation="landscape" r:id="rId2"/>
  <rowBreaks count="1" manualBreakCount="1">
    <brk id="37"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Sheet1</vt:lpstr>
      <vt:lpstr>Abstract</vt:lpstr>
      <vt:lpstr>Cast Conflicts</vt:lpstr>
      <vt:lpstr>Political</vt:lpstr>
      <vt:lpstr>Communal</vt:lpstr>
      <vt:lpstr>General</vt:lpstr>
      <vt:lpstr>Abstract!Print_Area</vt:lpstr>
      <vt:lpstr>'Cast Conflicts'!Print_Area</vt:lpstr>
      <vt:lpstr>Communal!Print_Area</vt:lpstr>
      <vt:lpstr>General!Print_Area</vt:lpstr>
      <vt:lpstr>Political!Print_Area</vt:lpstr>
      <vt:lpstr>'Cast Conflicts'!Print_Titles</vt:lpstr>
      <vt:lpstr>Communal!Print_Titles</vt:lpstr>
      <vt:lpstr>General!Print_Titles</vt:lpstr>
      <vt:lpstr>Political!Print_Titles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special branch eluru</cp:lastModifiedBy>
  <cp:lastPrinted>2026-04-08T05:24:33Z</cp:lastPrinted>
  <dcterms:created xsi:type="dcterms:W3CDTF">2022-10-18T16:01:54Z</dcterms:created>
  <dcterms:modified xsi:type="dcterms:W3CDTF">2026-04-08T05:24:36Z</dcterms:modified>
</cp:coreProperties>
</file>